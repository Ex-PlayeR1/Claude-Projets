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Hypothèses" sheetId="2" state="visible" r:id="rId4"/>
    <sheet name="CA réel" sheetId="3" state="visible" r:id="rId5"/>
    <sheet name="P&amp;L Normalisé" sheetId="4" state="visible" r:id="rId6"/>
    <sheet name="DCF" sheetId="5" state="visible" r:id="rId7"/>
    <sheet name="Multiples" sheetId="6" state="visible" r:id="rId8"/>
    <sheet name="Patrimoniale" sheetId="7" state="visible" r:id="rId9"/>
    <sheet name="Bilan résumé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Modèle</author>
  </authors>
  <commentList>
    <comment ref="C36" authorId="0">
      <text>
        <r>
          <rPr>
            <sz val="10"/>
            <rFont val="Arial"/>
            <family val="2"/>
          </rPr>
          <t xml:space="preserve">Provision indicative pour régularisation des CA non déclarés sur exercices antérieurs</t>
        </r>
      </text>
    </comment>
  </commentList>
</comments>
</file>

<file path=xl/sharedStrings.xml><?xml version="1.0" encoding="utf-8"?>
<sst xmlns="http://schemas.openxmlformats.org/spreadsheetml/2006/main" count="258" uniqueCount="228">
  <si>
    <t xml:space="preserve">AT225 — VALORISATION 100% DES TITRES</t>
  </si>
  <si>
    <t xml:space="preserve">Vente à très court terme — Synthèse exécutive</t>
  </si>
  <si>
    <t xml:space="preserve">Société :</t>
  </si>
  <si>
    <t xml:space="preserve">ASSISTANCE TECHNIQUE 225 (AT225)</t>
  </si>
  <si>
    <t xml:space="preserve">Adresse :</t>
  </si>
  <si>
    <t xml:space="preserve">BP 250 Grand Bassam — Côte d'Ivoire</t>
  </si>
  <si>
    <t xml:space="preserve">NCC :</t>
  </si>
  <si>
    <t xml:space="preserve">2007015R</t>
  </si>
  <si>
    <t xml:space="preserve">Devise :</t>
  </si>
  <si>
    <t xml:space="preserve">XOF (Franc CFA)</t>
  </si>
  <si>
    <t xml:space="preserve">Date de valorisation :</t>
  </si>
  <si>
    <t xml:space="preserve">5 mai 2026</t>
  </si>
  <si>
    <t xml:space="preserve">Taux EUR/XOF :</t>
  </si>
  <si>
    <t xml:space="preserve">  CHIFFRES CLÉS (CA RÉEL — facturation)</t>
  </si>
  <si>
    <t xml:space="preserve">Indicateur</t>
  </si>
  <si>
    <t xml:space="preserve">2024</t>
  </si>
  <si>
    <t xml:space="preserve">2025</t>
  </si>
  <si>
    <t xml:space="preserve">2026 YTD (au 04/05)</t>
  </si>
  <si>
    <t xml:space="preserve">2026 Budget</t>
  </si>
  <si>
    <t xml:space="preserve">Chiffre d'affaires (M XOF)</t>
  </si>
  <si>
    <t xml:space="preserve">Chiffre d'affaires (k EUR)</t>
  </si>
  <si>
    <t xml:space="preserve">Croissance annuelle</t>
  </si>
  <si>
    <t xml:space="preserve">Nombre de factures</t>
  </si>
  <si>
    <t xml:space="preserve">  FOURCHETTE DE VALORISATION — 100% DES TITRES</t>
  </si>
  <si>
    <t xml:space="preserve">Méthode</t>
  </si>
  <si>
    <t xml:space="preserve">Bas (M XOF)</t>
  </si>
  <si>
    <t xml:space="preserve">Central (M XOF)</t>
  </si>
  <si>
    <t xml:space="preserve">Haut (M XOF)</t>
  </si>
  <si>
    <t xml:space="preserve">Central (k EUR)</t>
  </si>
  <si>
    <t xml:space="preserve">Pondération</t>
  </si>
  <si>
    <t xml:space="preserve">DCF (taux d'actualisation 22%)</t>
  </si>
  <si>
    <t xml:space="preserve">Multiple d'EBITDA normalisé</t>
  </si>
  <si>
    <t xml:space="preserve">Multiple de chiffre d'affaires</t>
  </si>
  <si>
    <t xml:space="preserve">Méthode patrimoniale (ANR)</t>
  </si>
  <si>
    <t xml:space="preserve">VALORISATION CENTRALE PONDÉRÉE</t>
  </si>
  <si>
    <t xml:space="preserve">Décote vente à très court terme (liquidité / urgence)</t>
  </si>
  <si>
    <t xml:space="preserve">VALEUR D'ÉQUITÉ ATTENDUE (vente rapide 100%)</t>
  </si>
  <si>
    <t xml:space="preserve">  RECOMMANDATION DE PRIX D'OFFRE</t>
  </si>
  <si>
    <t xml:space="preserve">Prix indicatif demandé (M XOF)</t>
  </si>
  <si>
    <t xml:space="preserve">Équivalent (k EUR)</t>
  </si>
  <si>
    <t xml:space="preserve">Fourchette de négociation (M XOF)</t>
  </si>
  <si>
    <t xml:space="preserve">POINTS D'ATTENTION CLÉS POUR L'ACQUÉREUR</t>
  </si>
  <si>
    <t xml:space="preserve">• Écart entre CA déclaré dans les états financiers 2025 (244 M XOF) et CA réel facturé (752 M XOF) — risque de régularisation fiscale à provisionner.</t>
  </si>
  <si>
    <t xml:space="preserve">• Concentration clients : Bessac Afrique = ~32% du CA cumulé 2024-2025. Mitigation par contractualisation pluriannuelle.</t>
  </si>
  <si>
    <t xml:space="preserve">• Dépendance forte aux compétences clés du gérant et au portefeuille relationnel.</t>
  </si>
  <si>
    <t xml:space="preserve">• Pénalités fiscales budgétées 2026 (~11 M XOF) — provisions complémentaires possibles.</t>
  </si>
  <si>
    <t xml:space="preserve">• Croissance soutenue : +44% (2024→2025), prévisionnel 2026 à +127% selon plan de trésorerie (à valider en linéaire YTD).</t>
  </si>
  <si>
    <t xml:space="preserve">• Trésorerie nette positive au 31/12/2025 : +20,6 M XOF (cash) – 12,8 M XOF (dettes fiscales/sociales) = +7,8 M XOF.</t>
  </si>
  <si>
    <t xml:space="preserve">Légende couleurs : Bleu = hypothèses (modifiables) — Noir = formules — Vert = liens onglets — Jaune = sortie clé</t>
  </si>
  <si>
    <t xml:space="preserve">HYPOTHÈSES DE VALORISATION</t>
  </si>
  <si>
    <t xml:space="preserve">  Paramètres macro &amp; financiers</t>
  </si>
  <si>
    <t xml:space="preserve">Taux EUR/XOF (peg fixe)</t>
  </si>
  <si>
    <t xml:space="preserve">Source : peg fixe BCEAO</t>
  </si>
  <si>
    <t xml:space="preserve">Taux d'actualisation (WACC)</t>
  </si>
  <si>
    <t xml:space="preserve">Risque pays Côte d'Ivoire + prime PME (15-25%)</t>
  </si>
  <si>
    <t xml:space="preserve">Taux de croissance terminal</t>
  </si>
  <si>
    <t xml:space="preserve">Croissance long terme alignée PIB CI</t>
  </si>
  <si>
    <t xml:space="preserve">Taux d'IS effectif</t>
  </si>
  <si>
    <t xml:space="preserve">Taux normal IS Côte d'Ivoire</t>
  </si>
  <si>
    <t xml:space="preserve">Inflation moyenne</t>
  </si>
  <si>
    <t xml:space="preserve">Hypothèse de travail</t>
  </si>
  <si>
    <t xml:space="preserve">  Hypothèses de croissance et de marge</t>
  </si>
  <si>
    <t xml:space="preserve">Année</t>
  </si>
  <si>
    <t xml:space="preserve">Croissance CA</t>
  </si>
  <si>
    <t xml:space="preserve">Marge EBITDA</t>
  </si>
  <si>
    <t xml:space="preserve">Marge nette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</si>
  <si>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</si>
  <si>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</si>
  <si>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</si>
  <si>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</si>
  <si>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</si>
  <si>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Terminal</t>
  </si>
  <si>
    <t xml:space="preserve">  Multiples retenus (PME services techniques Afrique de l'Ouest)</t>
  </si>
  <si>
    <t xml:space="preserve">Multiple</t>
  </si>
  <si>
    <t xml:space="preserve">Bas</t>
  </si>
  <si>
    <t xml:space="preserve">Central</t>
  </si>
  <si>
    <t xml:space="preserve">Haut</t>
  </si>
  <si>
    <t xml:space="preserve">Référence</t>
  </si>
  <si>
    <t xml:space="preserve">EV / EBITDA (trailing)</t>
  </si>
  <si>
    <t xml:space="preserve">Comparables ingénierie / staff aug. - décote PME / risque pays</t>
  </si>
  <si>
    <t xml:space="preserve">EV / Sales (trailing 2025)</t>
  </si>
  <si>
    <t xml:space="preserve">Services techniques B2B émergents</t>
  </si>
  <si>
    <t xml:space="preserve">EV / Sales (forward 2026)</t>
  </si>
  <si>
    <t xml:space="preserve">  Normalisation de l'EBITDA pour la valorisation</t>
  </si>
  <si>
    <t xml:space="preserve">Marge EBITDA normalisée appliquée au CA réel</t>
  </si>
  <si>
    <t xml:space="preserve">Hypothèse centrale (entre 20% et 30%)</t>
  </si>
  <si>
    <t xml:space="preserve">NOTES</t>
  </si>
  <si>
    <t xml:space="preserve">1) WACC 22% : Risque pays CI (~7%), Risque taille PME (~6%), Spread illiquidité (~4%), Risque de régularisation fiscale (~3%) au-dessus d'un Rf base ~2%.</t>
  </si>
  <si>
    <t xml:space="preserve">2) Le CA officiel des états financiers (244 M XOF en 2025) ne reflète pas l'activité économique réelle. La valorisation est basée sur le CA facturé réel.</t>
  </si>
  <si>
    <t xml:space="preserve">3) Décote vente rapide : 10-30% selon urgence et largeur de la mise en concurrence avec acquéreurs.</t>
  </si>
  <si>
    <t xml:space="preserve">CHIFFRE D'AFFAIRES RÉEL — DÉTAIL MENSUEL (XOF)</t>
  </si>
  <si>
    <t xml:space="preserve">Janv.</t>
  </si>
  <si>
    <t xml:space="preserve">Févr.</t>
  </si>
  <si>
    <t xml:space="preserve">Mars</t>
  </si>
  <si>
    <t xml:space="preserve">Avril</t>
  </si>
  <si>
    <t xml:space="preserve">Mai</t>
  </si>
  <si>
    <t xml:space="preserve">Juin</t>
  </si>
  <si>
    <t xml:space="preserve">Juil.</t>
  </si>
  <si>
    <t xml:space="preserve">Août</t>
  </si>
  <si>
    <t xml:space="preserve">Sept.</t>
  </si>
  <si>
    <t xml:space="preserve">Oct.</t>
  </si>
  <si>
    <t xml:space="preserve">Nov.</t>
  </si>
  <si>
    <t xml:space="preserve">Déc.</t>
  </si>
  <si>
    <t xml:space="preserve">Total</t>
  </si>
  <si>
    <t xml:space="preserve">2026 YTD</t>
  </si>
  <si>
    <t xml:space="preserve">Δ YoY</t>
  </si>
  <si>
    <t xml:space="preserve">Indicateurs</t>
  </si>
  <si>
    <t xml:space="preserve">Nombre de factures 2024 / 2025 / 2026 YTD</t>
  </si>
  <si>
    <t xml:space="preserve">236 / 266 / 171</t>
  </si>
  <si>
    <t xml:space="preserve">Statuts (2024-2026)</t>
  </si>
  <si>
    <t xml:space="preserve">Comptabilisé : 666 — Annulé : 6 — Brouillon : 1</t>
  </si>
  <si>
    <t xml:space="preserve">Top 3 clients 2025</t>
  </si>
  <si>
    <t xml:space="preserve">Bessac Afrique (32%), SPAC CI (25%), Seureca CI (9%)</t>
  </si>
  <si>
    <t xml:space="preserve">Annualisation 2026 (linéaire sur YTD)</t>
  </si>
  <si>
    <t xml:space="preserve">(124 jours écoulés au 04/05)</t>
  </si>
  <si>
    <t xml:space="preserve">Budget 2026 (plan de trésorerie)</t>
  </si>
  <si>
    <t xml:space="preserve">COMPTE DE RÉSULTAT NORMALISÉ — En M XOF</t>
  </si>
  <si>
    <t xml:space="preserve">M XOF</t>
  </si>
  <si>
    <t xml:space="preserve">2024A</t>
  </si>
  <si>
    <t xml:space="preserve">2025A</t>
  </si>
  <si>
    <t xml:space="preserve">Chiffre d'affaires</t>
  </si>
  <si>
    <t xml:space="preserve">Croissance</t>
  </si>
  <si>
    <t xml:space="preserve">Marge EBITDA (%)</t>
  </si>
  <si>
    <t xml:space="preserve">EBITDA normalisé</t>
  </si>
  <si>
    <t xml:space="preserve">Dotations amortissements (~2% CA)</t>
  </si>
  <si>
    <t xml:space="preserve">EBIT</t>
  </si>
  <si>
    <t xml:space="preserve">Impôts (-25%)</t>
  </si>
  <si>
    <t xml:space="preserve">NOPAT</t>
  </si>
  <si>
    <t xml:space="preserve">Note : EBITDA 2024-2025 estimé à partir du plan de trésorerie 2026 et de la marge déclarée en états financiers (corrigée du périmètre).</t>
  </si>
  <si>
    <t xml:space="preserve">VALORISATION PAR DCF — En M XOF</t>
  </si>
  <si>
    <t xml:space="preserve">EBITDA</t>
  </si>
  <si>
    <t xml:space="preserve">(-) Amortissements</t>
  </si>
  <si>
    <t xml:space="preserve">(-) Impôts (25%)</t>
  </si>
  <si>
    <t xml:space="preserve">(+) Amortissements</t>
  </si>
  <si>
    <t xml:space="preserve">(-) Capex (~3% CA)</t>
  </si>
  <si>
    <t xml:space="preserve">(-) Variation BFR (~10% Δ CA)</t>
  </si>
  <si>
    <t xml:space="preserve">Free Cash Flow (FCF)</t>
  </si>
  <si>
    <t xml:space="preserve">Période d'actualisation</t>
  </si>
  <si>
    <t xml:space="preserve">Facteur d'actualisation</t>
  </si>
  <si>
    <t xml:space="preserve">PV FCF</t>
  </si>
  <si>
    <t xml:space="preserve">  Valeur terminale (Gordon)</t>
  </si>
  <si>
    <t xml:space="preserve">FCF terminal (FCF 2030 × (1+g))</t>
  </si>
  <si>
    <t xml:space="preserve">Taux WACC - g</t>
  </si>
  <si>
    <t xml:space="preserve">Valeur terminale (TV)</t>
  </si>
  <si>
    <t xml:space="preserve">Facteur d'actualisation TV</t>
  </si>
  <si>
    <t xml:space="preserve">PV de la valeur terminale</t>
  </si>
  <si>
    <t xml:space="preserve">  Valeur d'entreprise &amp; équité</t>
  </si>
  <si>
    <t xml:space="preserve">Σ PV FCF (5 ans)</t>
  </si>
  <si>
    <t xml:space="preserve">PV Valeur Terminale</t>
  </si>
  <si>
    <t xml:space="preserve">Valeur d'Entreprise (EV)</t>
  </si>
  <si>
    <t xml:space="preserve">Bridge EV → Equity</t>
  </si>
  <si>
    <t xml:space="preserve">(+) Trésorerie au 31/12/2025</t>
  </si>
  <si>
    <t xml:space="preserve">(-) Dettes financières</t>
  </si>
  <si>
    <t xml:space="preserve">(-) Dettes fiscales/sociales</t>
  </si>
  <si>
    <t xml:space="preserve">(-) Provision régularisation fiscale (estim.)</t>
  </si>
  <si>
    <t xml:space="preserve">Equity central (DCF)</t>
  </si>
  <si>
    <t xml:space="preserve">DCF — fourchette pour synthèse</t>
  </si>
  <si>
    <t xml:space="preserve">(±25%)</t>
  </si>
  <si>
    <t xml:space="preserve">  Sensibilité Equity DCF (M XOF) — WACC × g terminal</t>
  </si>
  <si>
    <t xml:space="preserve">WACC \ g</t>
  </si>
  <si>
    <t xml:space="preserve">VALORISATION PAR MULTIPLES — En M XOF</t>
  </si>
  <si>
    <t xml:space="preserve">  Multiple EV/EBITDA — base CA réel 2025 normalisé</t>
  </si>
  <si>
    <t xml:space="preserve">CA 2025 réel (M XOF)</t>
  </si>
  <si>
    <t xml:space="preserve">Marge EBITDA normalisée</t>
  </si>
  <si>
    <t xml:space="preserve">Multiple EV/EBITDA</t>
  </si>
  <si>
    <t xml:space="preserve">(+) Trésorerie</t>
  </si>
  <si>
    <t xml:space="preserve">(-) Dettes financières et fiscales</t>
  </si>
  <si>
    <t xml:space="preserve">(-) Provision régularisation fiscale</t>
  </si>
  <si>
    <t xml:space="preserve">Equity (M XOF)</t>
  </si>
  <si>
    <t xml:space="preserve">Equity multiple EBITDA — pour synthèse</t>
  </si>
  <si>
    <t xml:space="preserve">  Multiple EV/Sales — base CA 2025 réel</t>
  </si>
  <si>
    <t xml:space="preserve">CA 2025 réel</t>
  </si>
  <si>
    <t xml:space="preserve">Multiple EV/Sales</t>
  </si>
  <si>
    <t xml:space="preserve">Valeur d'Entreprise</t>
  </si>
  <si>
    <t xml:space="preserve">(+) Trésorerie - (-) Dettes - Prov.</t>
  </si>
  <si>
    <t xml:space="preserve">Equity multiple Sales — pour synthèse</t>
  </si>
  <si>
    <t xml:space="preserve">  Vérification — Multiple EV/Sales forward (CA 2026E)</t>
  </si>
  <si>
    <t xml:space="preserve">CA 2026E</t>
  </si>
  <si>
    <t xml:space="preserve">Multiple EV/Sales forward</t>
  </si>
  <si>
    <t xml:space="preserve">EV forward</t>
  </si>
  <si>
    <t xml:space="preserve">MÉTHODE PATRIMONIALE — Actif Net Réévalué (M XOF)</t>
  </si>
  <si>
    <t xml:space="preserve">Poste</t>
  </si>
  <si>
    <t xml:space="preserve">Bilan 31/12/25</t>
  </si>
  <si>
    <t xml:space="preserve">Réévaluation</t>
  </si>
  <si>
    <t xml:space="preserve">ANR</t>
  </si>
  <si>
    <t xml:space="preserve">ACTIF</t>
  </si>
  <si>
    <t xml:space="preserve">Immobilisations incorporelles</t>
  </si>
  <si>
    <t xml:space="preserve">Immobilisations corporelles</t>
  </si>
  <si>
    <t xml:space="preserve">Immobilisations financières</t>
  </si>
  <si>
    <t xml:space="preserve">Créances clients</t>
  </si>
  <si>
    <t xml:space="preserve">Trésorerie</t>
  </si>
  <si>
    <t xml:space="preserve">TOTAL ACTIF RÉÉVALUÉ</t>
  </si>
  <si>
    <t xml:space="preserve">DETTES (à déduire)</t>
  </si>
  <si>
    <t xml:space="preserve">Dettes fiscales et sociales</t>
  </si>
  <si>
    <t xml:space="preserve">Dettes fournisseurs</t>
  </si>
  <si>
    <t xml:space="preserve">Provision régularisation fiscale (estim.)</t>
  </si>
  <si>
    <t xml:space="preserve">TOTAL DETTES</t>
  </si>
  <si>
    <t xml:space="preserve">(+) Goodwill (clientèle, savoir-faire)</t>
  </si>
  <si>
    <t xml:space="preserve">ACTIF NET RÉÉVALUÉ + GW</t>
  </si>
  <si>
    <t xml:space="preserve">Patrimoniale — fourchette pour synthèse</t>
  </si>
  <si>
    <t xml:space="preserve">Note : la méthode patrimoniale est peu adaptée à un cabinet de services dont la valeur réside dans le portefeuille client et le savoir-faire (incorporels non-comptabilisés). Elle constitue ici un plancher de référence.</t>
  </si>
  <si>
    <t xml:space="preserve">BILAN AT225 — Synthèse exercice clos 31/12/2025 (XOF)</t>
  </si>
  <si>
    <t xml:space="preserve">ACTIF (NET)</t>
  </si>
  <si>
    <t xml:space="preserve">31/12/2025</t>
  </si>
  <si>
    <t xml:space="preserve">31/12/2024</t>
  </si>
  <si>
    <t xml:space="preserve">Immobilisations incorporelles (logiciels)</t>
  </si>
  <si>
    <t xml:space="preserve">    dont matériel mobilier</t>
  </si>
  <si>
    <t xml:space="preserve">    dont matériel de transport</t>
  </si>
  <si>
    <t xml:space="preserve">Total actif immobilisé</t>
  </si>
  <si>
    <t xml:space="preserve">Total actif circulant</t>
  </si>
  <si>
    <t xml:space="preserve">Trésorerie active (banques, caisse)</t>
  </si>
  <si>
    <t xml:space="preserve">TOTAL ACTIF</t>
  </si>
  <si>
    <t xml:space="preserve">PASSIF</t>
  </si>
  <si>
    <t xml:space="preserve">Capital social</t>
  </si>
  <si>
    <t xml:space="preserve">Report à nouveau</t>
  </si>
  <si>
    <t xml:space="preserve">Résultat net de l'exercice</t>
  </si>
  <si>
    <t xml:space="preserve">Total capitaux propres</t>
  </si>
  <si>
    <t xml:space="preserve">Autres dettes</t>
  </si>
  <si>
    <t xml:space="preserve">Total passif circulant</t>
  </si>
  <si>
    <t xml:space="preserve">Trésorerie passive</t>
  </si>
  <si>
    <t xml:space="preserve">TOTAL PASSIF</t>
  </si>
  <si>
    <t xml:space="preserve">Source : États financiers provisoires AT225 au 31/12/2025</t>
  </si>
  <si>
    <t xml:space="preserve">ALERTE : Comparaison CA déclaré vs CA facturé</t>
  </si>
  <si>
    <t xml:space="preserve">CA déclaré (états financiers 2025)</t>
  </si>
  <si>
    <t xml:space="preserve">CA facturé réel (fichier facturation 2025)</t>
  </si>
  <si>
    <t xml:space="preserve">Écart</t>
  </si>
  <si>
    <t xml:space="preserve">Écart en % du CA réel</t>
  </si>
  <si>
    <t xml:space="preserve">Cette différence représente une exposition de régularisation fiscale (impôts/IS) dont le buyer demandera couverture par garantie de passif.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</si>
</sst>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0"/>
    <numFmt numFmtId="166" formatCode="#,##0.0"/>
    <numFmt numFmtId="167" formatCode="#,##0"/>
    <numFmt numFmtId="168" formatCode="0.0%;\(0.0%\);\-"/>
    <numFmt numFmtId="169" formatCode="#,##0&quot; M XOF&quot;"/>
    <numFmt numFmtId="170" formatCode="#,##0&quot; k EUR&quot;"/>
    <numFmt numFmtId="171" formatCode="0.0\x"/>
    <numFmt numFmtId="172" formatCode="0.00"/>
    <numFmt numFmtId="173" formatCode="0.0000"/>
    <numFmt numFmtId="174" formatCode="#,##0.0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i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4"/>
      <color rgb="FF0000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10"/>
      <color rgb="FF008000"/>
      <name val="Arial"/>
      <family val="0"/>
      <charset val="1"/>
    </font>
    <font>
      <sz val="10"/>
      <name val="Arial"/>
      <family val="2"/>
    </font>
    <font>
      <i val="true"/>
      <sz val="9"/>
      <color rgb="FFC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C6EFCE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6EFCE"/>
      </patternFill>
    </fill>
    <fill>
      <patternFill patternType="solid">
        <fgColor rgb="FFC00000"/>
        <bgColor rgb="FF8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6" min="3" style="0" width="18"/>
    <col collapsed="false" customWidth="true" hidden="false" outlineLevel="0" max="7" min="7" style="0" width="28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15" hidden="false" customHeight="true" outlineLevel="0" collapsed="false">
      <c r="B3" s="2" t="s">
        <v>1</v>
      </c>
      <c r="C3" s="2"/>
      <c r="D3" s="2"/>
      <c r="E3" s="2"/>
      <c r="F3" s="2"/>
      <c r="G3" s="2"/>
    </row>
    <row r="5" customFormat="false" ht="15" hidden="false" customHeight="false" outlineLevel="0" collapsed="false">
      <c r="B5" s="3" t="s">
        <v>2</v>
      </c>
      <c r="C5" s="4" t="s">
        <v>3</v>
      </c>
      <c r="D5" s="4"/>
      <c r="E5" s="4"/>
      <c r="F5" s="4"/>
      <c r="G5" s="4"/>
    </row>
    <row r="6" customFormat="false" ht="15" hidden="false" customHeight="false" outlineLevel="0" collapsed="false">
      <c r="B6" s="3" t="s">
        <v>4</v>
      </c>
      <c r="C6" s="5" t="s">
        <v>5</v>
      </c>
      <c r="D6" s="5"/>
      <c r="E6" s="5"/>
      <c r="F6" s="5"/>
      <c r="G6" s="5"/>
    </row>
    <row r="7" customFormat="false" ht="15" hidden="false" customHeight="false" outlineLevel="0" collapsed="false">
      <c r="B7" s="3" t="s">
        <v>6</v>
      </c>
      <c r="C7" s="0" t="s">
        <v>7</v>
      </c>
      <c r="D7" s="3" t="s">
        <v>8</v>
      </c>
      <c r="E7" s="0" t="s">
        <v>9</v>
      </c>
    </row>
    <row r="8" customFormat="false" ht="15" hidden="false" customHeight="false" outlineLevel="0" collapsed="false">
      <c r="B8" s="3" t="s">
        <v>10</v>
      </c>
      <c r="C8" s="0" t="s">
        <v>11</v>
      </c>
      <c r="D8" s="3" t="s">
        <v>12</v>
      </c>
      <c r="E8" s="6" t="n">
        <v>655.957</v>
      </c>
    </row>
    <row r="10" customFormat="false" ht="15" hidden="false" customHeight="true" outlineLevel="0" collapsed="false">
      <c r="A10" s="7" t="s">
        <v>13</v>
      </c>
      <c r="B10" s="7"/>
      <c r="C10" s="7"/>
      <c r="D10" s="7"/>
      <c r="E10" s="7"/>
      <c r="F10" s="7"/>
      <c r="G10" s="7"/>
    </row>
    <row r="11" customFormat="false" ht="15" hidden="false" customHeight="false" outlineLevel="0" collapsed="false">
      <c r="B11" s="8" t="s">
        <v>14</v>
      </c>
      <c r="C11" s="8" t="s">
        <v>15</v>
      </c>
      <c r="D11" s="8" t="s">
        <v>16</v>
      </c>
      <c r="E11" s="8" t="s">
        <v>17</v>
      </c>
      <c r="F11" s="8" t="s">
        <v>18</v>
      </c>
    </row>
    <row r="12" customFormat="false" ht="15" hidden="false" customHeight="false" outlineLevel="0" collapsed="false">
      <c r="B12" s="0" t="s">
        <v>19</v>
      </c>
      <c r="C12" s="9" t="n">
        <v>522.5</v>
      </c>
      <c r="D12" s="9" t="n">
        <v>752.5</v>
      </c>
      <c r="E12" s="9" t="n">
        <v>367.1</v>
      </c>
      <c r="F12" s="9" t="n">
        <v>1710</v>
      </c>
    </row>
    <row r="13" customFormat="false" ht="15" hidden="false" customHeight="false" outlineLevel="0" collapsed="false">
      <c r="B13" s="0" t="s">
        <v>20</v>
      </c>
      <c r="C13" s="10" t="n">
        <f aca="false">C12*1000/$E$8</f>
        <v>796.546115065469</v>
      </c>
      <c r="D13" s="10" t="n">
        <f aca="false">D12*1000/$E$8</f>
        <v>1147.17885471151</v>
      </c>
      <c r="E13" s="10" t="n">
        <f aca="false">E12*1000/$E$8</f>
        <v>559.640342278534</v>
      </c>
      <c r="F13" s="10" t="n">
        <f aca="false">F12*1000/$E$8</f>
        <v>2606.87819475972</v>
      </c>
    </row>
    <row r="14" customFormat="false" ht="15" hidden="false" customHeight="false" outlineLevel="0" collapsed="false">
      <c r="B14" s="0" t="s">
        <v>21</v>
      </c>
      <c r="D14" s="11" t="n">
        <f aca="false">D12/C12-1</f>
        <v>0.440191387559809</v>
      </c>
      <c r="F14" s="11" t="n">
        <f aca="false">F12/D12-1</f>
        <v>1.27242524916944</v>
      </c>
    </row>
    <row r="15" customFormat="false" ht="15" hidden="false" customHeight="false" outlineLevel="0" collapsed="false">
      <c r="B15" s="0" t="s">
        <v>22</v>
      </c>
      <c r="C15" s="12" t="n">
        <v>236</v>
      </c>
      <c r="D15" s="12" t="n">
        <v>266</v>
      </c>
      <c r="E15" s="12" t="n">
        <v>171</v>
      </c>
    </row>
    <row r="17" customFormat="false" ht="15" hidden="false" customHeight="true" outlineLevel="0" collapsed="false">
      <c r="A17" s="7" t="s">
        <v>23</v>
      </c>
      <c r="B17" s="7"/>
      <c r="C17" s="7"/>
      <c r="D17" s="7"/>
      <c r="E17" s="7"/>
      <c r="F17" s="7"/>
      <c r="G17" s="7"/>
    </row>
    <row r="18" customFormat="false" ht="15" hidden="false" customHeight="false" outlineLevel="0" collapsed="false">
      <c r="B18" s="8" t="s">
        <v>24</v>
      </c>
      <c r="C18" s="8" t="s">
        <v>25</v>
      </c>
      <c r="D18" s="8" t="s">
        <v>26</v>
      </c>
      <c r="E18" s="8" t="s">
        <v>27</v>
      </c>
      <c r="F18" s="8" t="s">
        <v>28</v>
      </c>
      <c r="G18" s="8" t="s">
        <v>29</v>
      </c>
    </row>
    <row r="19" customFormat="false" ht="15" hidden="false" customHeight="false" outlineLevel="0" collapsed="false">
      <c r="B19" s="0" t="s">
        <v>30</v>
      </c>
      <c r="C19" s="13" t="n">
        <f aca="false">DCF!C40</f>
        <v>950.442881703542</v>
      </c>
      <c r="D19" s="13" t="n">
        <f aca="false">DCF!D40</f>
        <v>1267.25717560472</v>
      </c>
      <c r="E19" s="13" t="n">
        <f aca="false">DCF!E40</f>
        <v>1584.0714695059</v>
      </c>
      <c r="F19" s="14" t="n">
        <f aca="false">D19*1000/$E$8</f>
        <v>1931.92111007996</v>
      </c>
      <c r="G19" s="15" t="n">
        <v>0.3</v>
      </c>
    </row>
    <row r="20" customFormat="false" ht="15" hidden="false" customHeight="false" outlineLevel="0" collapsed="false">
      <c r="B20" s="0" t="s">
        <v>31</v>
      </c>
      <c r="C20" s="13" t="n">
        <f aca="false">Multiples!C20</f>
        <v>309.2712402</v>
      </c>
      <c r="D20" s="13" t="n">
        <f aca="false">Multiples!D20</f>
        <v>754.308575375</v>
      </c>
      <c r="E20" s="13" t="n">
        <f aca="false">Multiples!E20</f>
        <v>1312.2137206</v>
      </c>
      <c r="F20" s="14" t="n">
        <f aca="false">D20*1000/$E$8</f>
        <v>1149.9360100967</v>
      </c>
      <c r="G20" s="15" t="n">
        <v>0.4</v>
      </c>
    </row>
    <row r="21" customFormat="false" ht="15" hidden="false" customHeight="false" outlineLevel="0" collapsed="false">
      <c r="B21" s="0" t="s">
        <v>32</v>
      </c>
      <c r="C21" s="13" t="n">
        <f aca="false">Multiples!C29</f>
        <v>158.7808268</v>
      </c>
      <c r="D21" s="13" t="n">
        <f aca="false">Multiples!D29</f>
        <v>321.64863685</v>
      </c>
      <c r="E21" s="13" t="n">
        <f aca="false">Multiples!E29</f>
        <v>522.13905025</v>
      </c>
      <c r="F21" s="14" t="n">
        <f aca="false">D21*1000/$E$8</f>
        <v>490.350185835352</v>
      </c>
      <c r="G21" s="15" t="n">
        <v>0.2</v>
      </c>
    </row>
    <row r="22" customFormat="false" ht="15" hidden="false" customHeight="false" outlineLevel="0" collapsed="false">
      <c r="B22" s="0" t="s">
        <v>33</v>
      </c>
      <c r="C22" s="13" t="n">
        <f aca="false">Patrimoniale!C20</f>
        <v>34.0164</v>
      </c>
      <c r="D22" s="13" t="n">
        <f aca="false">Patrimoniale!D20</f>
        <v>56.694</v>
      </c>
      <c r="E22" s="13" t="n">
        <f aca="false">Patrimoniale!E20</f>
        <v>79.3716</v>
      </c>
      <c r="F22" s="14" t="n">
        <f aca="false">D22*1000/$E$8</f>
        <v>86.4294458325775</v>
      </c>
      <c r="G22" s="15" t="n">
        <v>0.1</v>
      </c>
    </row>
    <row r="24" customFormat="false" ht="15" hidden="false" customHeight="false" outlineLevel="0" collapsed="false">
      <c r="B24" s="16" t="s">
        <v>34</v>
      </c>
      <c r="C24" s="17" t="n">
        <f aca="false">SUMPRODUCT(C19:C22,G19:G22)</f>
        <v>443.999165951063</v>
      </c>
      <c r="D24" s="17" t="n">
        <f aca="false">SUMPRODUCT(D19:D22,G19:G22)</f>
        <v>751.899710201417</v>
      </c>
      <c r="E24" s="17" t="n">
        <f aca="false">SUMPRODUCT(E19:E22,G19:G22)</f>
        <v>1112.47189914177</v>
      </c>
      <c r="F24" s="17" t="n">
        <f aca="false">D24*1000/$E$8</f>
        <v>1146.263718813</v>
      </c>
      <c r="G24" s="18" t="n">
        <f aca="false">SUM(G19:G22)</f>
        <v>1</v>
      </c>
    </row>
    <row r="26" customFormat="false" ht="15" hidden="false" customHeight="false" outlineLevel="0" collapsed="false">
      <c r="B26" s="19" t="s">
        <v>35</v>
      </c>
      <c r="C26" s="15" t="n">
        <v>-0.3</v>
      </c>
      <c r="D26" s="15" t="n">
        <v>-0.2</v>
      </c>
      <c r="E26" s="15" t="n">
        <v>-0.1</v>
      </c>
    </row>
    <row r="27" customFormat="false" ht="24" hidden="false" customHeight="true" outlineLevel="0" collapsed="false">
      <c r="B27" s="20" t="s">
        <v>36</v>
      </c>
      <c r="C27" s="21" t="n">
        <f aca="false">C24*(1+C26)</f>
        <v>310.799416165744</v>
      </c>
      <c r="D27" s="21" t="n">
        <f aca="false">D24*(1+D26)</f>
        <v>601.519768161133</v>
      </c>
      <c r="E27" s="21" t="n">
        <f aca="false">E24*(1+E26)</f>
        <v>1001.22470922759</v>
      </c>
      <c r="F27" s="21" t="n">
        <f aca="false">D27*1000/$E$8</f>
        <v>917.010975050397</v>
      </c>
    </row>
    <row r="29" customFormat="false" ht="15" hidden="false" customHeight="true" outlineLevel="0" collapsed="false">
      <c r="A29" s="7" t="s">
        <v>37</v>
      </c>
      <c r="B29" s="7"/>
      <c r="C29" s="7"/>
      <c r="D29" s="7"/>
      <c r="E29" s="7"/>
      <c r="F29" s="7"/>
      <c r="G29" s="7"/>
    </row>
    <row r="30" customFormat="false" ht="17.35" hidden="false" customHeight="false" outlineLevel="0" collapsed="false">
      <c r="B30" s="22" t="s">
        <v>38</v>
      </c>
      <c r="C30" s="23" t="n">
        <f aca="false">D27</f>
        <v>601.519768161133</v>
      </c>
    </row>
    <row r="31" customFormat="false" ht="17.35" hidden="false" customHeight="false" outlineLevel="0" collapsed="false">
      <c r="B31" s="22" t="s">
        <v>39</v>
      </c>
      <c r="C31" s="24" t="n">
        <f aca="false">C30*1000/$E$8</f>
        <v>917.010975050397</v>
      </c>
    </row>
    <row r="32" customFormat="false" ht="15" hidden="false" customHeight="false" outlineLevel="0" collapsed="false">
      <c r="B32" s="22" t="s">
        <v>40</v>
      </c>
      <c r="C32" s="22" t="str">
        <f aca="false">TEXT(C27,"#,##0")&amp;" — "&amp;TEXT(E27,"#,##0")&amp;" M XOF"</f>
        <v>311 — 1,001 M XOF</v>
      </c>
    </row>
    <row r="34" customFormat="false" ht="15" hidden="false" customHeight="false" outlineLevel="0" collapsed="false">
      <c r="B34" s="25" t="s">
        <v>41</v>
      </c>
      <c r="C34" s="25"/>
      <c r="D34" s="25"/>
      <c r="E34" s="25"/>
      <c r="F34" s="25"/>
      <c r="G34" s="25"/>
    </row>
    <row r="35" customFormat="false" ht="30" hidden="false" customHeight="true" outlineLevel="0" collapsed="false">
      <c r="B35" s="26" t="s">
        <v>42</v>
      </c>
      <c r="C35" s="26"/>
      <c r="D35" s="26"/>
      <c r="E35" s="26"/>
      <c r="F35" s="26"/>
      <c r="G35" s="26"/>
    </row>
    <row r="36" customFormat="false" ht="30" hidden="false" customHeight="true" outlineLevel="0" collapsed="false">
      <c r="B36" s="26" t="s">
        <v>43</v>
      </c>
      <c r="C36" s="26"/>
      <c r="D36" s="26"/>
      <c r="E36" s="26"/>
      <c r="F36" s="26"/>
      <c r="G36" s="26"/>
    </row>
    <row r="37" customFormat="false" ht="30" hidden="false" customHeight="true" outlineLevel="0" collapsed="false">
      <c r="B37" s="26" t="s">
        <v>44</v>
      </c>
      <c r="C37" s="26"/>
      <c r="D37" s="26"/>
      <c r="E37" s="26"/>
      <c r="F37" s="26"/>
      <c r="G37" s="26"/>
    </row>
    <row r="38" customFormat="false" ht="30" hidden="false" customHeight="true" outlineLevel="0" collapsed="false">
      <c r="B38" s="26" t="s">
        <v>45</v>
      </c>
      <c r="C38" s="26"/>
      <c r="D38" s="26"/>
      <c r="E38" s="26"/>
      <c r="F38" s="26"/>
      <c r="G38" s="26"/>
    </row>
    <row r="39" customFormat="false" ht="30" hidden="false" customHeight="true" outlineLevel="0" collapsed="false">
      <c r="B39" s="26" t="s">
        <v>46</v>
      </c>
      <c r="C39" s="26"/>
      <c r="D39" s="26"/>
      <c r="E39" s="26"/>
      <c r="F39" s="26"/>
      <c r="G39" s="26"/>
    </row>
    <row r="40" customFormat="false" ht="30" hidden="false" customHeight="true" outlineLevel="0" collapsed="false">
      <c r="B40" s="26" t="s">
        <v>47</v>
      </c>
      <c r="C40" s="26"/>
      <c r="D40" s="26"/>
      <c r="E40" s="26"/>
      <c r="F40" s="26"/>
      <c r="G40" s="26"/>
    </row>
    <row r="43" customFormat="false" ht="15" hidden="false" customHeight="false" outlineLevel="0" collapsed="false">
      <c r="B43" s="27" t="s">
        <v>48</v>
      </c>
      <c r="C43" s="27"/>
      <c r="D43" s="27"/>
      <c r="E43" s="27"/>
      <c r="F43" s="27"/>
      <c r="G43" s="27"/>
    </row>
  </sheetData>
  <mergeCells count="15">
    <mergeCell ref="B2:G2"/>
    <mergeCell ref="B3:G3"/>
    <mergeCell ref="C5:G5"/>
    <mergeCell ref="C6:G6"/>
    <mergeCell ref="A10:G10"/>
    <mergeCell ref="A17:G17"/>
    <mergeCell ref="A29:G29"/>
    <mergeCell ref="B34:G34"/>
    <mergeCell ref="B35:G35"/>
    <mergeCell ref="B36:G36"/>
    <mergeCell ref="B37:G37"/>
    <mergeCell ref="B38:G38"/>
    <mergeCell ref="B39:G39"/>
    <mergeCell ref="B40:G40"/>
    <mergeCell ref="B43:G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5" min="3" style="0" width="18"/>
    <col collapsed="false" customWidth="true" hidden="false" outlineLevel="0" max="6" min="6" style="0" width="35"/>
  </cols>
  <sheetData>
    <row r="2" customFormat="false" ht="17.35" hidden="false" customHeight="true" outlineLevel="0" collapsed="false">
      <c r="B2" s="28" t="s">
        <v>49</v>
      </c>
      <c r="C2" s="28"/>
      <c r="D2" s="28"/>
      <c r="E2" s="28"/>
      <c r="F2" s="28"/>
    </row>
    <row r="4" customFormat="false" ht="15" hidden="false" customHeight="true" outlineLevel="0" collapsed="false">
      <c r="A4" s="7" t="s">
        <v>50</v>
      </c>
      <c r="B4" s="7"/>
      <c r="C4" s="7"/>
      <c r="D4" s="7"/>
      <c r="E4" s="7"/>
      <c r="F4" s="7"/>
    </row>
    <row r="5" customFormat="false" ht="15" hidden="false" customHeight="false" outlineLevel="0" collapsed="false">
      <c r="B5" s="0" t="s">
        <v>51</v>
      </c>
      <c r="C5" s="6" t="n">
        <v>655.957</v>
      </c>
      <c r="F5" s="29" t="s">
        <v>52</v>
      </c>
    </row>
    <row r="6" customFormat="false" ht="15" hidden="false" customHeight="false" outlineLevel="0" collapsed="false">
      <c r="B6" s="0" t="s">
        <v>53</v>
      </c>
      <c r="C6" s="15" t="n">
        <v>0.22</v>
      </c>
      <c r="F6" s="29" t="s">
        <v>54</v>
      </c>
    </row>
    <row r="7" customFormat="false" ht="15" hidden="false" customHeight="false" outlineLevel="0" collapsed="false">
      <c r="B7" s="0" t="s">
        <v>55</v>
      </c>
      <c r="C7" s="15" t="n">
        <v>0.03</v>
      </c>
      <c r="F7" s="29" t="s">
        <v>56</v>
      </c>
    </row>
    <row r="8" customFormat="false" ht="15" hidden="false" customHeight="false" outlineLevel="0" collapsed="false">
      <c r="B8" s="0" t="s">
        <v>57</v>
      </c>
      <c r="C8" s="15" t="n">
        <v>0.25</v>
      </c>
      <c r="F8" s="29" t="s">
        <v>58</v>
      </c>
    </row>
    <row r="9" customFormat="false" ht="15" hidden="false" customHeight="false" outlineLevel="0" collapsed="false">
      <c r="B9" s="0" t="s">
        <v>59</v>
      </c>
      <c r="C9" s="15" t="n">
        <v>0.03</v>
      </c>
      <c r="F9" s="29" t="s">
        <v>60</v>
      </c>
    </row>
    <row r="12" customFormat="false" ht="15" hidden="false" customHeight="true" outlineLevel="0" collapsed="false">
      <c r="A12" s="7" t="s">
        <v>61</v>
      </c>
      <c r="B12" s="7"/>
      <c r="C12" s="7"/>
      <c r="D12" s="7"/>
      <c r="E12" s="7"/>
      <c r="F12" s="7"/>
    </row>
    <row r="13" customFormat="false" ht="15" hidden="false" customHeight="false" outlineLevel="0" collapsed="false">
      <c r="B13" s="8" t="s">
        <v>62</v>
      </c>
      <c r="C13" s="8" t="s">
        <v>63</v>
      </c>
      <c r="D13" s="8" t="s">
        <v>64</v>
      </c>
      <c r="E13" s="8" t="s">
        <v>65</v>
      </c>
    </row>
    <row r="14" customFormat="false" ht="15" hidden="false" customHeight="false" outlineLevel="0" collapsed="false">
      <c r="B14" s="3" t="s">
        <v>66</v>
      </c>
      <c r="C14" s="15" t="n">
        <v>0.4</v>
      </c>
      <c r="D14" s="15" t="n">
        <v>0.25</v>
      </c>
      <c r="E14" s="15" t="n">
        <v>0.15</v>
      </c>
    </row>
    <row r="15" customFormat="false" ht="15" hidden="false" customHeight="false" outlineLevel="0" collapsed="false">
      <c r="B15" s="3" t="s">
        <v>67</v>
      </c>
      <c r="C15" s="15" t="n">
        <v>0.3</v>
      </c>
      <c r="D15" s="15" t="n">
        <v>0.27</v>
      </c>
      <c r="E15" s="15" t="n">
        <v>0.17</v>
      </c>
    </row>
    <row r="16" customFormat="false" ht="15" hidden="false" customHeight="false" outlineLevel="0" collapsed="false">
      <c r="B16" s="3" t="s">
        <v>68</v>
      </c>
      <c r="C16" s="15" t="n">
        <v>0.2</v>
      </c>
      <c r="D16" s="15" t="n">
        <v>0.27</v>
      </c>
      <c r="E16" s="15" t="n">
        <v>0.17</v>
      </c>
    </row>
    <row r="17" customFormat="false" ht="15" hidden="false" customHeight="false" outlineLevel="0" collapsed="false">
      <c r="B17" s="3" t="s">
        <v>69</v>
      </c>
      <c r="C17" s="15" t="n">
        <v>0.12</v>
      </c>
      <c r="D17" s="15" t="n">
        <v>0.26</v>
      </c>
      <c r="E17" s="15" t="n">
        <v>0.16</v>
      </c>
    </row>
    <row r="18" customFormat="false" ht="15" hidden="false" customHeight="false" outlineLevel="0" collapsed="false">
      <c r="B18" s="3" t="s">
        <v>70</v>
      </c>
      <c r="C18" s="15" t="n">
        <v>0.08</v>
      </c>
      <c r="D18" s="15" t="n">
        <v>0.25</v>
      </c>
      <c r="E18" s="15" t="n">
        <v>0.15</v>
      </c>
    </row>
    <row r="19" customFormat="false" ht="15" hidden="false" customHeight="false" outlineLevel="0" collapsed="false">
      <c r="B19" s="3" t="s">
        <v>71</v>
      </c>
      <c r="C19" s="15" t="n">
        <v>0.03</v>
      </c>
      <c r="D19" s="15" t="n">
        <v>0.25</v>
      </c>
      <c r="E19" s="15" t="n">
        <v>0.15</v>
      </c>
    </row>
    <row r="22" customFormat="false" ht="15" hidden="false" customHeight="true" outlineLevel="0" collapsed="false">
      <c r="A22" s="7" t="s">
        <v>72</v>
      </c>
      <c r="B22" s="7"/>
      <c r="C22" s="7"/>
      <c r="D22" s="7"/>
      <c r="E22" s="7"/>
      <c r="F22" s="7"/>
    </row>
    <row r="23" customFormat="false" ht="15" hidden="false" customHeight="false" outlineLevel="0" collapsed="false">
      <c r="B23" s="8" t="s">
        <v>73</v>
      </c>
      <c r="C23" s="8" t="s">
        <v>74</v>
      </c>
      <c r="D23" s="8" t="s">
        <v>75</v>
      </c>
      <c r="E23" s="8" t="s">
        <v>76</v>
      </c>
      <c r="F23" s="8" t="s">
        <v>77</v>
      </c>
    </row>
    <row r="24" customFormat="false" ht="15" hidden="false" customHeight="false" outlineLevel="0" collapsed="false">
      <c r="B24" s="0" t="s">
        <v>78</v>
      </c>
      <c r="C24" s="30" t="n">
        <v>3</v>
      </c>
      <c r="D24" s="30" t="n">
        <v>4.5</v>
      </c>
      <c r="E24" s="30" t="n">
        <v>6</v>
      </c>
      <c r="F24" s="29" t="s">
        <v>79</v>
      </c>
    </row>
    <row r="25" customFormat="false" ht="15" hidden="false" customHeight="false" outlineLevel="0" collapsed="false">
      <c r="B25" s="0" t="s">
        <v>80</v>
      </c>
      <c r="C25" s="30" t="n">
        <v>0.4</v>
      </c>
      <c r="D25" s="30" t="n">
        <v>0.55</v>
      </c>
      <c r="E25" s="30" t="n">
        <v>0.75</v>
      </c>
      <c r="F25" s="29" t="s">
        <v>81</v>
      </c>
    </row>
    <row r="26" customFormat="false" ht="15" hidden="false" customHeight="false" outlineLevel="0" collapsed="false">
      <c r="B26" s="0" t="s">
        <v>82</v>
      </c>
      <c r="C26" s="30" t="n">
        <v>0.3</v>
      </c>
      <c r="D26" s="30" t="n">
        <v>0.4</v>
      </c>
      <c r="E26" s="30" t="n">
        <v>0.55</v>
      </c>
      <c r="F26" s="29" t="s">
        <v>81</v>
      </c>
    </row>
    <row r="30" customFormat="false" ht="15" hidden="false" customHeight="true" outlineLevel="0" collapsed="false">
      <c r="A30" s="7" t="s">
        <v>83</v>
      </c>
      <c r="B30" s="7"/>
      <c r="C30" s="7"/>
      <c r="D30" s="7"/>
      <c r="E30" s="7"/>
      <c r="F30" s="7"/>
    </row>
    <row r="31" customFormat="false" ht="15" hidden="false" customHeight="false" outlineLevel="0" collapsed="false">
      <c r="B31" s="0" t="s">
        <v>84</v>
      </c>
      <c r="C31" s="31" t="n">
        <v>0.25</v>
      </c>
      <c r="F31" s="29" t="s">
        <v>85</v>
      </c>
    </row>
    <row r="34" customFormat="false" ht="15" hidden="false" customHeight="false" outlineLevel="0" collapsed="false">
      <c r="B34" s="3" t="s">
        <v>86</v>
      </c>
    </row>
    <row r="35" customFormat="false" ht="27.75" hidden="false" customHeight="true" outlineLevel="0" collapsed="false">
      <c r="B35" s="32" t="s">
        <v>87</v>
      </c>
      <c r="C35" s="32"/>
      <c r="D35" s="32"/>
      <c r="E35" s="32"/>
      <c r="F35" s="32"/>
    </row>
    <row r="36" customFormat="false" ht="27.75" hidden="false" customHeight="true" outlineLevel="0" collapsed="false">
      <c r="B36" s="32" t="s">
        <v>88</v>
      </c>
      <c r="C36" s="32"/>
      <c r="D36" s="32"/>
      <c r="E36" s="32"/>
      <c r="F36" s="32"/>
    </row>
    <row r="37" customFormat="false" ht="27.75" hidden="false" customHeight="true" outlineLevel="0" collapsed="false">
      <c r="B37" s="32" t="s">
        <v>89</v>
      </c>
      <c r="C37" s="32"/>
      <c r="D37" s="32"/>
      <c r="E37" s="32"/>
      <c r="F37" s="32"/>
    </row>
  </sheetData>
  <mergeCells count="8">
    <mergeCell ref="B2:F2"/>
    <mergeCell ref="A4:F4"/>
    <mergeCell ref="A12:F12"/>
    <mergeCell ref="A22:F22"/>
    <mergeCell ref="A30:F30"/>
    <mergeCell ref="B35:F35"/>
    <mergeCell ref="B36:F36"/>
    <mergeCell ref="B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15" min="2" style="0" width="13"/>
  </cols>
  <sheetData>
    <row r="2" customFormat="false" ht="17.35" hidden="false" customHeight="true" outlineLevel="0" collapsed="false">
      <c r="B2" s="28" t="s">
        <v>90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4" customFormat="false" ht="15" hidden="false" customHeight="false" outlineLevel="0" collapsed="false">
      <c r="B4" s="8" t="s">
        <v>62</v>
      </c>
      <c r="C4" s="8" t="s">
        <v>91</v>
      </c>
      <c r="D4" s="8" t="s">
        <v>92</v>
      </c>
      <c r="E4" s="8" t="s">
        <v>93</v>
      </c>
      <c r="F4" s="8" t="s">
        <v>94</v>
      </c>
      <c r="G4" s="8" t="s">
        <v>95</v>
      </c>
      <c r="H4" s="8" t="s">
        <v>96</v>
      </c>
      <c r="I4" s="8" t="s">
        <v>97</v>
      </c>
      <c r="J4" s="8" t="s">
        <v>98</v>
      </c>
      <c r="K4" s="8" t="s">
        <v>99</v>
      </c>
      <c r="L4" s="8" t="s">
        <v>100</v>
      </c>
      <c r="M4" s="8" t="s">
        <v>101</v>
      </c>
      <c r="N4" s="8" t="s">
        <v>102</v>
      </c>
      <c r="O4" s="8" t="s">
        <v>103</v>
      </c>
    </row>
    <row r="5" customFormat="false" ht="15" hidden="false" customHeight="false" outlineLevel="0" collapsed="false">
      <c r="B5" s="0" t="n">
        <v>2024</v>
      </c>
      <c r="C5" s="12" t="n">
        <v>39153454</v>
      </c>
      <c r="D5" s="12" t="n">
        <v>26859726</v>
      </c>
      <c r="E5" s="12" t="n">
        <v>26474731</v>
      </c>
      <c r="F5" s="12" t="n">
        <v>42120676</v>
      </c>
      <c r="G5" s="12" t="n">
        <v>41717292</v>
      </c>
      <c r="H5" s="12" t="n">
        <v>38977303</v>
      </c>
      <c r="I5" s="12" t="n">
        <v>20858283</v>
      </c>
      <c r="J5" s="12" t="n">
        <v>47837895</v>
      </c>
      <c r="K5" s="12" t="n">
        <v>86684477</v>
      </c>
      <c r="L5" s="12" t="n">
        <v>51367833</v>
      </c>
      <c r="M5" s="12" t="n">
        <v>52271027</v>
      </c>
      <c r="N5" s="12" t="n">
        <v>48171828</v>
      </c>
      <c r="O5" s="33" t="n">
        <f aca="false">SUM(C5:N5)</f>
        <v>522494525</v>
      </c>
    </row>
    <row r="6" customFormat="false" ht="15" hidden="false" customHeight="false" outlineLevel="0" collapsed="false">
      <c r="B6" s="0" t="n">
        <v>2025</v>
      </c>
      <c r="C6" s="12" t="n">
        <v>30222312</v>
      </c>
      <c r="D6" s="12" t="n">
        <v>22085825</v>
      </c>
      <c r="E6" s="12" t="n">
        <v>64217234</v>
      </c>
      <c r="F6" s="12" t="n">
        <v>12055620</v>
      </c>
      <c r="G6" s="12" t="n">
        <v>63487499</v>
      </c>
      <c r="H6" s="12" t="n">
        <v>102825080</v>
      </c>
      <c r="I6" s="12" t="n">
        <v>78012832</v>
      </c>
      <c r="J6" s="12" t="n">
        <v>90233520</v>
      </c>
      <c r="K6" s="12" t="n">
        <v>28277344</v>
      </c>
      <c r="L6" s="12" t="n">
        <v>100358538</v>
      </c>
      <c r="M6" s="12" t="n">
        <v>20185156</v>
      </c>
      <c r="N6" s="12" t="n">
        <v>140491107</v>
      </c>
      <c r="O6" s="33" t="n">
        <f aca="false">SUM(C6:N6)</f>
        <v>752452067</v>
      </c>
    </row>
    <row r="7" customFormat="false" ht="15" hidden="false" customHeight="false" outlineLevel="0" collapsed="false">
      <c r="B7" s="0" t="s">
        <v>104</v>
      </c>
      <c r="C7" s="12" t="n">
        <v>52006866</v>
      </c>
      <c r="D7" s="12" t="n">
        <v>37734496</v>
      </c>
      <c r="E7" s="12" t="n">
        <v>138244635</v>
      </c>
      <c r="F7" s="12" t="n">
        <v>88801027</v>
      </c>
      <c r="G7" s="12" t="n">
        <v>50330690</v>
      </c>
      <c r="O7" s="33" t="n">
        <f aca="false">SUM(C7:N7)</f>
        <v>367117714</v>
      </c>
    </row>
    <row r="9" customFormat="false" ht="15" hidden="false" customHeight="false" outlineLevel="0" collapsed="false">
      <c r="B9" s="3" t="s">
        <v>105</v>
      </c>
      <c r="O9" s="11" t="n">
        <f aca="false">O6/O5-1</f>
        <v>0.44011473995828</v>
      </c>
    </row>
    <row r="11" customFormat="false" ht="15" hidden="false" customHeight="false" outlineLevel="0" collapsed="false">
      <c r="B11" s="25" t="s">
        <v>106</v>
      </c>
      <c r="C11" s="25"/>
      <c r="D11" s="25"/>
      <c r="E11" s="25"/>
      <c r="F11" s="25"/>
      <c r="G11" s="25"/>
    </row>
    <row r="12" customFormat="false" ht="15" hidden="false" customHeight="false" outlineLevel="0" collapsed="false">
      <c r="B12" s="0" t="s">
        <v>107</v>
      </c>
      <c r="F12" s="34" t="s">
        <v>108</v>
      </c>
    </row>
    <row r="13" customFormat="false" ht="15" hidden="false" customHeight="false" outlineLevel="0" collapsed="false">
      <c r="B13" s="0" t="s">
        <v>109</v>
      </c>
      <c r="F13" s="34" t="s">
        <v>110</v>
      </c>
    </row>
    <row r="14" customFormat="false" ht="15" hidden="false" customHeight="false" outlineLevel="0" collapsed="false">
      <c r="B14" s="0" t="s">
        <v>111</v>
      </c>
      <c r="F14" s="34" t="s">
        <v>112</v>
      </c>
    </row>
    <row r="16" customFormat="false" ht="15" hidden="false" customHeight="false" outlineLevel="0" collapsed="false">
      <c r="B16" s="3" t="s">
        <v>113</v>
      </c>
      <c r="F16" s="10" t="n">
        <f aca="false">O7/(124/365)</f>
        <v>1080628754.91936</v>
      </c>
      <c r="G16" s="29" t="s">
        <v>114</v>
      </c>
    </row>
    <row r="17" customFormat="false" ht="15" hidden="false" customHeight="false" outlineLevel="0" collapsed="false">
      <c r="B17" s="3" t="s">
        <v>115</v>
      </c>
      <c r="F17" s="12" t="n">
        <v>1710000000</v>
      </c>
    </row>
  </sheetData>
  <mergeCells count="2">
    <mergeCell ref="B2:N2"/>
    <mergeCell ref="B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9" min="3" style="0" width="16"/>
  </cols>
  <sheetData>
    <row r="2" customFormat="false" ht="17.35" hidden="false" customHeight="true" outlineLevel="0" collapsed="false">
      <c r="B2" s="28" t="s">
        <v>116</v>
      </c>
      <c r="C2" s="28"/>
      <c r="D2" s="28"/>
      <c r="E2" s="28"/>
      <c r="F2" s="28"/>
      <c r="G2" s="28"/>
      <c r="H2" s="28"/>
      <c r="I2" s="28"/>
    </row>
    <row r="4" customFormat="false" ht="15" hidden="false" customHeight="false" outlineLevel="0" collapsed="false">
      <c r="B4" s="8" t="s">
        <v>117</v>
      </c>
      <c r="C4" s="8" t="s">
        <v>118</v>
      </c>
      <c r="D4" s="8" t="s">
        <v>119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</row>
    <row r="6" customFormat="false" ht="15" hidden="false" customHeight="false" outlineLevel="0" collapsed="false">
      <c r="B6" s="3" t="s">
        <v>120</v>
      </c>
      <c r="C6" s="35" t="n">
        <f aca="false">'CA réel'!O5/1000000</f>
        <v>522.494525</v>
      </c>
      <c r="D6" s="35" t="n">
        <f aca="false">'CA réel'!O6/1000000</f>
        <v>752.452067</v>
      </c>
      <c r="E6" s="33" t="n">
        <f aca="false">D6*(1+Hypothèses!C14)</f>
        <v>1053.4328938</v>
      </c>
      <c r="F6" s="33" t="n">
        <f aca="false">E6*(1+Hypothèses!C15)</f>
        <v>1369.46276194</v>
      </c>
      <c r="G6" s="33" t="n">
        <f aca="false">F6*(1+Hypothèses!C16)</f>
        <v>1643.355314328</v>
      </c>
      <c r="H6" s="33" t="n">
        <f aca="false">G6*(1+Hypothèses!C17)</f>
        <v>1840.55795204736</v>
      </c>
      <c r="I6" s="33" t="n">
        <f aca="false">H6*(1+Hypothèses!C18)</f>
        <v>1987.80258821115</v>
      </c>
    </row>
    <row r="7" customFormat="false" ht="15" hidden="false" customHeight="false" outlineLevel="0" collapsed="false">
      <c r="B7" s="0" t="s">
        <v>121</v>
      </c>
      <c r="D7" s="36" t="n">
        <f aca="false">D6/C6-1</f>
        <v>0.44011473995828</v>
      </c>
      <c r="E7" s="36" t="n">
        <f aca="false">Hypothèses!C14</f>
        <v>0.4</v>
      </c>
      <c r="F7" s="36" t="n">
        <f aca="false">Hypothèses!C15</f>
        <v>0.3</v>
      </c>
      <c r="G7" s="36" t="n">
        <f aca="false">Hypothèses!C16</f>
        <v>0.2</v>
      </c>
      <c r="H7" s="36" t="n">
        <f aca="false">Hypothèses!C17</f>
        <v>0.12</v>
      </c>
      <c r="I7" s="36" t="n">
        <f aca="false">Hypothèses!C18</f>
        <v>0.08</v>
      </c>
    </row>
    <row r="9" customFormat="false" ht="15" hidden="false" customHeight="false" outlineLevel="0" collapsed="false">
      <c r="B9" s="3" t="s">
        <v>122</v>
      </c>
      <c r="C9" s="15" t="n">
        <v>0.2</v>
      </c>
      <c r="D9" s="15" t="n">
        <v>0.23</v>
      </c>
      <c r="E9" s="37" t="n">
        <f aca="false">Hypothèses!D14</f>
        <v>0.25</v>
      </c>
      <c r="F9" s="37" t="n">
        <f aca="false">Hypothèses!D15</f>
        <v>0.27</v>
      </c>
      <c r="G9" s="37" t="n">
        <f aca="false">Hypothèses!D16</f>
        <v>0.27</v>
      </c>
      <c r="H9" s="37" t="n">
        <f aca="false">Hypothèses!D17</f>
        <v>0.26</v>
      </c>
      <c r="I9" s="37" t="n">
        <f aca="false">Hypothèses!D18</f>
        <v>0.25</v>
      </c>
    </row>
    <row r="10" customFormat="false" ht="15" hidden="false" customHeight="false" outlineLevel="0" collapsed="false">
      <c r="B10" s="38" t="s">
        <v>123</v>
      </c>
      <c r="C10" s="39" t="n">
        <f aca="false">C6*C9</f>
        <v>104.498905</v>
      </c>
      <c r="D10" s="39" t="n">
        <f aca="false">D6*D9</f>
        <v>173.06397541</v>
      </c>
      <c r="E10" s="39" t="n">
        <f aca="false">E6*E9</f>
        <v>263.35822345</v>
      </c>
      <c r="F10" s="39" t="n">
        <f aca="false">F6*F9</f>
        <v>369.7549457238</v>
      </c>
      <c r="G10" s="39" t="n">
        <f aca="false">G6*G9</f>
        <v>443.70593486856</v>
      </c>
      <c r="H10" s="39" t="n">
        <f aca="false">H6*H9</f>
        <v>478.545067532314</v>
      </c>
      <c r="I10" s="39" t="n">
        <f aca="false">I6*I9</f>
        <v>496.950647052787</v>
      </c>
    </row>
    <row r="12" customFormat="false" ht="15" hidden="false" customHeight="false" outlineLevel="0" collapsed="false">
      <c r="B12" s="0" t="s">
        <v>124</v>
      </c>
      <c r="C12" s="10" t="n">
        <f aca="false">C6*0.02</f>
        <v>10.4498905</v>
      </c>
      <c r="D12" s="10" t="n">
        <f aca="false">D6*0.02</f>
        <v>15.04904134</v>
      </c>
      <c r="E12" s="10" t="n">
        <f aca="false">E6*0.02</f>
        <v>21.068657876</v>
      </c>
      <c r="F12" s="10" t="n">
        <f aca="false">F6*0.02</f>
        <v>27.3892552388</v>
      </c>
      <c r="G12" s="10" t="n">
        <f aca="false">G6*0.02</f>
        <v>32.86710628656</v>
      </c>
      <c r="H12" s="10" t="n">
        <f aca="false">H6*0.02</f>
        <v>36.8111590409472</v>
      </c>
      <c r="I12" s="10" t="n">
        <f aca="false">I6*0.02</f>
        <v>39.756051764223</v>
      </c>
    </row>
    <row r="13" customFormat="false" ht="15" hidden="false" customHeight="false" outlineLevel="0" collapsed="false">
      <c r="B13" s="3" t="s">
        <v>125</v>
      </c>
      <c r="C13" s="33" t="n">
        <f aca="false">C10-C12</f>
        <v>94.0490145</v>
      </c>
      <c r="D13" s="33" t="n">
        <f aca="false">D10-D12</f>
        <v>158.01493407</v>
      </c>
      <c r="E13" s="33" t="n">
        <f aca="false">E10-E12</f>
        <v>242.289565574</v>
      </c>
      <c r="F13" s="33" t="n">
        <f aca="false">F10-F12</f>
        <v>342.365690485</v>
      </c>
      <c r="G13" s="33" t="n">
        <f aca="false">G10-G12</f>
        <v>410.838828582</v>
      </c>
      <c r="H13" s="33" t="n">
        <f aca="false">H10-H12</f>
        <v>441.733908491367</v>
      </c>
      <c r="I13" s="33" t="n">
        <f aca="false">I10-I12</f>
        <v>457.194595288564</v>
      </c>
    </row>
    <row r="14" customFormat="false" ht="15" hidden="false" customHeight="false" outlineLevel="0" collapsed="false">
      <c r="B14" s="0" t="s">
        <v>126</v>
      </c>
      <c r="C14" s="10" t="n">
        <f aca="false">-C13*Hypothèses!$C$8</f>
        <v>-23.512253625</v>
      </c>
      <c r="D14" s="10" t="n">
        <f aca="false">-D13*Hypothèses!$C$8</f>
        <v>-39.5037335175</v>
      </c>
      <c r="E14" s="10" t="n">
        <f aca="false">-E13*Hypothèses!$C$8</f>
        <v>-60.5723913935</v>
      </c>
      <c r="F14" s="10" t="n">
        <f aca="false">-F13*Hypothèses!$C$8</f>
        <v>-85.59142262125</v>
      </c>
      <c r="G14" s="10" t="n">
        <f aca="false">-G13*Hypothèses!$C$8</f>
        <v>-102.7097071455</v>
      </c>
      <c r="H14" s="10" t="n">
        <f aca="false">-H13*Hypothèses!$C$8</f>
        <v>-110.433477122842</v>
      </c>
      <c r="I14" s="10" t="n">
        <f aca="false">-I13*Hypothèses!$C$8</f>
        <v>-114.298648822141</v>
      </c>
    </row>
    <row r="15" customFormat="false" ht="15" hidden="false" customHeight="false" outlineLevel="0" collapsed="false">
      <c r="B15" s="38" t="s">
        <v>127</v>
      </c>
      <c r="C15" s="39" t="n">
        <f aca="false">C13+C14</f>
        <v>70.536760875</v>
      </c>
      <c r="D15" s="39" t="n">
        <f aca="false">D13+D14</f>
        <v>118.5112005525</v>
      </c>
      <c r="E15" s="39" t="n">
        <f aca="false">E13+E14</f>
        <v>181.7171741805</v>
      </c>
      <c r="F15" s="39" t="n">
        <f aca="false">F13+F14</f>
        <v>256.77426786375</v>
      </c>
      <c r="G15" s="39" t="n">
        <f aca="false">G13+G14</f>
        <v>308.1291214365</v>
      </c>
      <c r="H15" s="39" t="n">
        <f aca="false">H13+H14</f>
        <v>331.300431368525</v>
      </c>
      <c r="I15" s="39" t="n">
        <f aca="false">I13+I14</f>
        <v>342.895946466423</v>
      </c>
    </row>
    <row r="17" customFormat="false" ht="15" hidden="false" customHeight="false" outlineLevel="0" collapsed="false">
      <c r="B17" s="27" t="s">
        <v>128</v>
      </c>
      <c r="C17" s="27"/>
      <c r="D17" s="27"/>
      <c r="E17" s="27"/>
      <c r="F17" s="27"/>
      <c r="G17" s="27"/>
      <c r="H17" s="27"/>
      <c r="I17" s="27"/>
    </row>
  </sheetData>
  <mergeCells count="2">
    <mergeCell ref="B2:I2"/>
    <mergeCell ref="B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10" min="3" style="0" width="15"/>
  </cols>
  <sheetData>
    <row r="2" customFormat="false" ht="17.35" hidden="false" customHeight="true" outlineLevel="0" collapsed="false">
      <c r="B2" s="28" t="s">
        <v>129</v>
      </c>
      <c r="C2" s="28"/>
      <c r="D2" s="28"/>
      <c r="E2" s="28"/>
      <c r="F2" s="28"/>
      <c r="G2" s="28"/>
      <c r="H2" s="28"/>
      <c r="I2" s="28"/>
      <c r="J2" s="28"/>
    </row>
    <row r="4" customFormat="false" ht="15" hidden="false" customHeight="false" outlineLevel="0" collapsed="false">
      <c r="B4" s="8" t="s">
        <v>117</v>
      </c>
      <c r="C4" s="8" t="s">
        <v>66</v>
      </c>
      <c r="D4" s="8" t="s">
        <v>67</v>
      </c>
      <c r="E4" s="8" t="s">
        <v>68</v>
      </c>
      <c r="F4" s="8" t="s">
        <v>69</v>
      </c>
      <c r="G4" s="8" t="s">
        <v>70</v>
      </c>
    </row>
    <row r="5" customFormat="false" ht="15" hidden="false" customHeight="false" outlineLevel="0" collapsed="false">
      <c r="B5" s="0" t="s">
        <v>120</v>
      </c>
      <c r="C5" s="35" t="n">
        <f aca="false">'P&amp;L Normalisé'!E6</f>
        <v>1053.4328938</v>
      </c>
      <c r="D5" s="35" t="n">
        <f aca="false">'P&amp;L Normalisé'!F6</f>
        <v>1369.46276194</v>
      </c>
      <c r="E5" s="35" t="n">
        <f aca="false">'P&amp;L Normalisé'!G6</f>
        <v>1643.355314328</v>
      </c>
      <c r="F5" s="35" t="n">
        <f aca="false">'P&amp;L Normalisé'!H6</f>
        <v>1840.55795204736</v>
      </c>
      <c r="G5" s="35" t="n">
        <f aca="false">'P&amp;L Normalisé'!I6</f>
        <v>1987.80258821115</v>
      </c>
    </row>
    <row r="6" customFormat="false" ht="15" hidden="false" customHeight="false" outlineLevel="0" collapsed="false">
      <c r="B6" s="0" t="s">
        <v>130</v>
      </c>
      <c r="C6" s="13" t="n">
        <f aca="false">'P&amp;L Normalisé'!E10</f>
        <v>263.35822345</v>
      </c>
      <c r="D6" s="13" t="n">
        <f aca="false">'P&amp;L Normalisé'!F10</f>
        <v>369.7549457238</v>
      </c>
      <c r="E6" s="13" t="n">
        <f aca="false">'P&amp;L Normalisé'!G10</f>
        <v>443.70593486856</v>
      </c>
      <c r="F6" s="13" t="n">
        <f aca="false">'P&amp;L Normalisé'!H10</f>
        <v>478.545067532314</v>
      </c>
      <c r="G6" s="13" t="n">
        <f aca="false">'P&amp;L Normalisé'!I10</f>
        <v>496.950647052787</v>
      </c>
    </row>
    <row r="7" customFormat="false" ht="15" hidden="false" customHeight="false" outlineLevel="0" collapsed="false">
      <c r="B7" s="0" t="s">
        <v>131</v>
      </c>
      <c r="C7" s="13" t="n">
        <f aca="false">-'P&amp;L Normalisé'!E12</f>
        <v>-21.068657876</v>
      </c>
      <c r="D7" s="13" t="n">
        <f aca="false">-'P&amp;L Normalisé'!F12</f>
        <v>-27.3892552388</v>
      </c>
      <c r="E7" s="13" t="n">
        <f aca="false">-'P&amp;L Normalisé'!G12</f>
        <v>-32.86710628656</v>
      </c>
      <c r="F7" s="13" t="n">
        <f aca="false">-'P&amp;L Normalisé'!H12</f>
        <v>-36.8111590409472</v>
      </c>
      <c r="G7" s="13" t="n">
        <f aca="false">-'P&amp;L Normalisé'!I12</f>
        <v>-39.756051764223</v>
      </c>
    </row>
    <row r="8" customFormat="false" ht="15" hidden="false" customHeight="false" outlineLevel="0" collapsed="false">
      <c r="B8" s="3" t="s">
        <v>125</v>
      </c>
      <c r="C8" s="33" t="n">
        <f aca="false">C6+C7</f>
        <v>242.289565574</v>
      </c>
      <c r="D8" s="33" t="n">
        <f aca="false">D6+D7</f>
        <v>342.365690485</v>
      </c>
      <c r="E8" s="33" t="n">
        <f aca="false">E6+E7</f>
        <v>410.838828582</v>
      </c>
      <c r="F8" s="33" t="n">
        <f aca="false">F6+F7</f>
        <v>441.733908491367</v>
      </c>
      <c r="G8" s="33" t="n">
        <f aca="false">G6+G7</f>
        <v>457.194595288564</v>
      </c>
    </row>
    <row r="9" customFormat="false" ht="15" hidden="false" customHeight="false" outlineLevel="0" collapsed="false">
      <c r="B9" s="0" t="s">
        <v>132</v>
      </c>
      <c r="C9" s="10" t="n">
        <f aca="false">-C8*Hypothèses!$C$8</f>
        <v>-60.5723913935</v>
      </c>
      <c r="D9" s="10" t="n">
        <f aca="false">-D8*Hypothèses!$C$8</f>
        <v>-85.59142262125</v>
      </c>
      <c r="E9" s="10" t="n">
        <f aca="false">-E8*Hypothèses!$C$8</f>
        <v>-102.7097071455</v>
      </c>
      <c r="F9" s="10" t="n">
        <f aca="false">-F8*Hypothèses!$C$8</f>
        <v>-110.433477122842</v>
      </c>
      <c r="G9" s="10" t="n">
        <f aca="false">-G8*Hypothèses!$C$8</f>
        <v>-114.298648822141</v>
      </c>
    </row>
    <row r="10" customFormat="false" ht="15" hidden="false" customHeight="false" outlineLevel="0" collapsed="false">
      <c r="B10" s="3" t="s">
        <v>127</v>
      </c>
      <c r="C10" s="33" t="n">
        <f aca="false">C8+C9</f>
        <v>181.7171741805</v>
      </c>
      <c r="D10" s="33" t="n">
        <f aca="false">D8+D9</f>
        <v>256.77426786375</v>
      </c>
      <c r="E10" s="33" t="n">
        <f aca="false">E8+E9</f>
        <v>308.1291214365</v>
      </c>
      <c r="F10" s="33" t="n">
        <f aca="false">F8+F9</f>
        <v>331.300431368525</v>
      </c>
      <c r="G10" s="33" t="n">
        <f aca="false">G8+G9</f>
        <v>342.895946466423</v>
      </c>
    </row>
    <row r="11" customFormat="false" ht="15" hidden="false" customHeight="false" outlineLevel="0" collapsed="false">
      <c r="B11" s="0" t="s">
        <v>133</v>
      </c>
      <c r="C11" s="10" t="n">
        <f aca="false">-C7</f>
        <v>21.068657876</v>
      </c>
      <c r="D11" s="10" t="n">
        <f aca="false">-D7</f>
        <v>27.3892552388</v>
      </c>
      <c r="E11" s="10" t="n">
        <f aca="false">-E7</f>
        <v>32.86710628656</v>
      </c>
      <c r="F11" s="10" t="n">
        <f aca="false">-F7</f>
        <v>36.8111590409472</v>
      </c>
      <c r="G11" s="10" t="n">
        <f aca="false">-G7</f>
        <v>39.756051764223</v>
      </c>
    </row>
    <row r="12" customFormat="false" ht="15" hidden="false" customHeight="false" outlineLevel="0" collapsed="false">
      <c r="B12" s="0" t="s">
        <v>134</v>
      </c>
      <c r="C12" s="10" t="n">
        <f aca="false">-C5*0.03</f>
        <v>-31.602986814</v>
      </c>
      <c r="D12" s="10" t="n">
        <f aca="false">-D5*0.03</f>
        <v>-41.0838828582</v>
      </c>
      <c r="E12" s="10" t="n">
        <f aca="false">-E5*0.03</f>
        <v>-49.30065942984</v>
      </c>
      <c r="F12" s="10" t="n">
        <f aca="false">-F5*0.03</f>
        <v>-55.2167385614208</v>
      </c>
      <c r="G12" s="10" t="n">
        <f aca="false">-G5*0.03</f>
        <v>-59.6340776463345</v>
      </c>
    </row>
    <row r="13" customFormat="false" ht="15" hidden="false" customHeight="false" outlineLevel="0" collapsed="false">
      <c r="B13" s="0" t="s">
        <v>135</v>
      </c>
      <c r="C13" s="10" t="n">
        <f aca="false">-(C5-'P&amp;L Normalisé'!D6)*0.1</f>
        <v>-30.09808268</v>
      </c>
      <c r="D13" s="10" t="n">
        <f aca="false">-(D5-C5)*0.1</f>
        <v>-31.602986814</v>
      </c>
      <c r="E13" s="10" t="n">
        <f aca="false">-(E5-D5)*0.1</f>
        <v>-27.3892552388</v>
      </c>
      <c r="F13" s="10" t="n">
        <f aca="false">-(F5-E5)*0.1</f>
        <v>-19.720263771936</v>
      </c>
      <c r="G13" s="10" t="n">
        <f aca="false">-(G5-F5)*0.1</f>
        <v>-14.7244636163789</v>
      </c>
    </row>
    <row r="14" customFormat="false" ht="15" hidden="false" customHeight="false" outlineLevel="0" collapsed="false">
      <c r="B14" s="40" t="s">
        <v>136</v>
      </c>
      <c r="C14" s="41" t="n">
        <f aca="false">C10+C11+C12+C13</f>
        <v>141.0847625625</v>
      </c>
      <c r="D14" s="41" t="n">
        <f aca="false">D10+D11+D12+D13</f>
        <v>211.47665343035</v>
      </c>
      <c r="E14" s="41" t="n">
        <f aca="false">E10+E11+E12+E13</f>
        <v>264.30631305442</v>
      </c>
      <c r="F14" s="41" t="n">
        <f aca="false">F10+F11+F12+F13</f>
        <v>293.174588076115</v>
      </c>
      <c r="G14" s="41" t="n">
        <f aca="false">G10+G11+G12+G13</f>
        <v>308.293456967933</v>
      </c>
    </row>
    <row r="16" customFormat="false" ht="15" hidden="false" customHeight="false" outlineLevel="0" collapsed="false">
      <c r="B16" s="0" t="s">
        <v>137</v>
      </c>
      <c r="C16" s="42" t="n">
        <v>0.65</v>
      </c>
      <c r="D16" s="43" t="n">
        <f aca="false">C16+1</f>
        <v>1.65</v>
      </c>
      <c r="E16" s="43" t="n">
        <f aca="false">D16+1</f>
        <v>2.65</v>
      </c>
      <c r="F16" s="43" t="n">
        <f aca="false">E16+1</f>
        <v>3.65</v>
      </c>
      <c r="G16" s="43" t="n">
        <f aca="false">F16+1</f>
        <v>4.65</v>
      </c>
    </row>
    <row r="17" customFormat="false" ht="15" hidden="false" customHeight="false" outlineLevel="0" collapsed="false">
      <c r="B17" s="0" t="s">
        <v>138</v>
      </c>
      <c r="C17" s="44" t="n">
        <f aca="false">1/(1+Hypothèses!$C$6)^C16</f>
        <v>0.878751562131454</v>
      </c>
      <c r="D17" s="44" t="n">
        <f aca="false">1/(1+Hypothèses!$C$6)^D16</f>
        <v>0.72028816568152</v>
      </c>
      <c r="E17" s="44" t="n">
        <f aca="false">1/(1+Hypothèses!$C$6)^E16</f>
        <v>0.590400135804524</v>
      </c>
      <c r="F17" s="44" t="n">
        <f aca="false">1/(1+Hypothèses!$C$6)^F16</f>
        <v>0.483934537544692</v>
      </c>
      <c r="G17" s="44" t="n">
        <f aca="false">1/(1+Hypothèses!$C$6)^G16</f>
        <v>0.396667653725157</v>
      </c>
    </row>
    <row r="18" customFormat="false" ht="15" hidden="false" customHeight="false" outlineLevel="0" collapsed="false">
      <c r="B18" s="3" t="s">
        <v>139</v>
      </c>
      <c r="C18" s="33" t="n">
        <f aca="false">C14*C17</f>
        <v>123.978455494742</v>
      </c>
      <c r="D18" s="33" t="n">
        <f aca="false">D14*D17</f>
        <v>152.324130783813</v>
      </c>
      <c r="E18" s="33" t="n">
        <f aca="false">E14*E17</f>
        <v>156.046483121323</v>
      </c>
      <c r="F18" s="33" t="n">
        <f aca="false">F14*F17</f>
        <v>141.87730870047</v>
      </c>
      <c r="G18" s="33" t="n">
        <f aca="false">G14*G17</f>
        <v>122.290042234288</v>
      </c>
    </row>
    <row r="20" customFormat="false" ht="15" hidden="false" customHeight="true" outlineLevel="0" collapsed="false">
      <c r="A20" s="7" t="s">
        <v>140</v>
      </c>
      <c r="B20" s="7"/>
      <c r="C20" s="7"/>
      <c r="D20" s="7"/>
      <c r="E20" s="7"/>
      <c r="F20" s="7"/>
      <c r="G20" s="7"/>
    </row>
    <row r="21" customFormat="false" ht="15" hidden="false" customHeight="false" outlineLevel="0" collapsed="false">
      <c r="B21" s="0" t="s">
        <v>141</v>
      </c>
      <c r="C21" s="10" t="n">
        <f aca="false">G14*(1+Hypothèses!C7)</f>
        <v>317.542260676971</v>
      </c>
    </row>
    <row r="22" customFormat="false" ht="15" hidden="false" customHeight="false" outlineLevel="0" collapsed="false">
      <c r="B22" s="0" t="s">
        <v>142</v>
      </c>
      <c r="C22" s="45" t="n">
        <f aca="false">Hypothèses!C6-Hypothèses!C7</f>
        <v>0.19</v>
      </c>
    </row>
    <row r="23" customFormat="false" ht="15" hidden="false" customHeight="false" outlineLevel="0" collapsed="false">
      <c r="B23" s="3" t="s">
        <v>143</v>
      </c>
      <c r="C23" s="33" t="n">
        <f aca="false">C21/C22</f>
        <v>1671.27505619458</v>
      </c>
    </row>
    <row r="24" customFormat="false" ht="15" hidden="false" customHeight="false" outlineLevel="0" collapsed="false">
      <c r="B24" s="0" t="s">
        <v>144</v>
      </c>
      <c r="C24" s="44" t="n">
        <f aca="false">G17</f>
        <v>0.396667653725157</v>
      </c>
    </row>
    <row r="25" customFormat="false" ht="15" hidden="false" customHeight="false" outlineLevel="0" collapsed="false">
      <c r="B25" s="3" t="s">
        <v>145</v>
      </c>
      <c r="C25" s="33" t="n">
        <f aca="false">C23*C24</f>
        <v>662.940755270086</v>
      </c>
    </row>
    <row r="27" customFormat="false" ht="15" hidden="false" customHeight="true" outlineLevel="0" collapsed="false">
      <c r="A27" s="7" t="s">
        <v>146</v>
      </c>
      <c r="B27" s="7"/>
      <c r="C27" s="7"/>
      <c r="D27" s="7"/>
      <c r="E27" s="7"/>
      <c r="F27" s="7"/>
      <c r="G27" s="7"/>
    </row>
    <row r="28" customFormat="false" ht="15" hidden="false" customHeight="false" outlineLevel="0" collapsed="false">
      <c r="B28" s="0" t="s">
        <v>147</v>
      </c>
      <c r="C28" s="10" t="n">
        <f aca="false">SUM(C18:G18)</f>
        <v>696.516420334636</v>
      </c>
    </row>
    <row r="29" customFormat="false" ht="15" hidden="false" customHeight="false" outlineLevel="0" collapsed="false">
      <c r="B29" s="0" t="s">
        <v>148</v>
      </c>
      <c r="C29" s="10" t="n">
        <f aca="false">C25</f>
        <v>662.940755270086</v>
      </c>
    </row>
    <row r="30" customFormat="false" ht="15" hidden="false" customHeight="false" outlineLevel="0" collapsed="false">
      <c r="B30" s="40" t="s">
        <v>149</v>
      </c>
      <c r="C30" s="41" t="n">
        <f aca="false">C28+C29</f>
        <v>1359.45717560472</v>
      </c>
    </row>
    <row r="32" customFormat="false" ht="15" hidden="false" customHeight="false" outlineLevel="0" collapsed="false">
      <c r="B32" s="3" t="s">
        <v>150</v>
      </c>
    </row>
    <row r="33" customFormat="false" ht="15" hidden="false" customHeight="false" outlineLevel="0" collapsed="false">
      <c r="B33" s="0" t="s">
        <v>151</v>
      </c>
      <c r="C33" s="9" t="n">
        <v>20.6</v>
      </c>
    </row>
    <row r="34" customFormat="false" ht="15" hidden="false" customHeight="false" outlineLevel="0" collapsed="false">
      <c r="B34" s="0" t="s">
        <v>152</v>
      </c>
      <c r="C34" s="9" t="n">
        <v>0</v>
      </c>
    </row>
    <row r="35" customFormat="false" ht="15" hidden="false" customHeight="false" outlineLevel="0" collapsed="false">
      <c r="B35" s="0" t="s">
        <v>153</v>
      </c>
      <c r="C35" s="9" t="n">
        <v>-12.8</v>
      </c>
    </row>
    <row r="36" customFormat="false" ht="15" hidden="false" customHeight="false" outlineLevel="0" collapsed="false">
      <c r="B36" s="0" t="s">
        <v>154</v>
      </c>
      <c r="C36" s="9" t="n">
        <v>-100</v>
      </c>
    </row>
    <row r="37" customFormat="false" ht="15" hidden="false" customHeight="false" outlineLevel="0" collapsed="false">
      <c r="B37" s="16" t="s">
        <v>155</v>
      </c>
      <c r="C37" s="17" t="n">
        <f aca="false">C30+C33+C34+C35+C36</f>
        <v>1267.25717560472</v>
      </c>
    </row>
    <row r="40" customFormat="false" ht="15" hidden="false" customHeight="false" outlineLevel="0" collapsed="false">
      <c r="B40" s="3" t="s">
        <v>156</v>
      </c>
      <c r="C40" s="33" t="n">
        <f aca="false">C37*0.75</f>
        <v>950.442881703542</v>
      </c>
      <c r="D40" s="33" t="n">
        <f aca="false">C37</f>
        <v>1267.25717560472</v>
      </c>
      <c r="E40" s="33" t="n">
        <f aca="false">C37*1.25</f>
        <v>1584.0714695059</v>
      </c>
      <c r="F40" s="29" t="s">
        <v>157</v>
      </c>
    </row>
    <row r="42" customFormat="false" ht="15" hidden="false" customHeight="true" outlineLevel="0" collapsed="false">
      <c r="A42" s="7" t="s">
        <v>158</v>
      </c>
      <c r="B42" s="7"/>
      <c r="C42" s="7"/>
      <c r="D42" s="7"/>
      <c r="E42" s="7"/>
      <c r="F42" s="7"/>
      <c r="G42" s="7"/>
      <c r="H42" s="7"/>
      <c r="I42" s="7"/>
      <c r="J42" s="7"/>
    </row>
    <row r="43" customFormat="false" ht="15" hidden="false" customHeight="false" outlineLevel="0" collapsed="false">
      <c r="B43" s="46" t="s">
        <v>159</v>
      </c>
      <c r="C43" s="47" t="n">
        <v>0.02</v>
      </c>
      <c r="D43" s="47" t="n">
        <v>0.03</v>
      </c>
      <c r="E43" s="47" t="n">
        <v>0.04</v>
      </c>
      <c r="F43" s="47" t="n">
        <v>0.05</v>
      </c>
    </row>
    <row r="44" customFormat="false" ht="15" hidden="false" customHeight="false" outlineLevel="0" collapsed="false">
      <c r="B44" s="47" t="n">
        <v>0.18</v>
      </c>
      <c r="C44" s="10" t="n">
        <f aca="false">C14/(1+0.18)^C16+D14/(1+0.18)^D16+E14/(1+0.18)^E16+F14/(1+0.18)^F16+G14/(1+0.18)^G16+(G14*(1+0.02)/(0.18-0.02))/(1+0.18)^G16+C33+C34+C35+C36</f>
        <v>1579.23869825815</v>
      </c>
      <c r="D44" s="10" t="n">
        <f aca="false">C14/(1+0.18)^C16+D14/(1+0.18)^D16+E14/(1+0.18)^E16+F14/(1+0.18)^F16+G14/(1+0.18)^G16+(G14*(1+0.03)/(0.18-0.03))/(1+0.18)^G16+C33+C34+C35+C36</f>
        <v>1649.44623553828</v>
      </c>
      <c r="E44" s="10" t="n">
        <f aca="false">C14/(1+0.18)^C16+D14/(1+0.18)^D16+E14/(1+0.18)^E16+F14/(1+0.18)^F16+G14/(1+0.18)^G16+(G14*(1+0.04)/(0.18-0.04))/(1+0.18)^G16+C33+C34+C35+C36</f>
        <v>1729.68342100128</v>
      </c>
      <c r="F44" s="10" t="n">
        <f aca="false">C14/(1+0.18)^C16+D14/(1+0.18)^D16+E14/(1+0.18)^E16+F14/(1+0.18)^F16+G14/(1+0.18)^G16+(G14*(1+0.05)/(0.18-0.05))/(1+0.18)^G16+C33+C34+C35+C36</f>
        <v>1822.26478884321</v>
      </c>
    </row>
    <row r="45" customFormat="false" ht="15" hidden="false" customHeight="false" outlineLevel="0" collapsed="false">
      <c r="B45" s="47" t="n">
        <v>0.2</v>
      </c>
      <c r="C45" s="10" t="n">
        <f aca="false">C14/(1+0.2)^C16+D14/(1+0.2)^D16+E14/(1+0.2)^E16+F14/(1+0.2)^F16+G14/(1+0.2)^G16+(G14*(1+0.02)/(0.2-0.02))/(1+0.2)^G16+C33+C34+C35+C36</f>
        <v>1383.78797686395</v>
      </c>
      <c r="D45" s="10" t="n">
        <f aca="false">C14/(1+0.2)^C16+D14/(1+0.2)^D16+E14/(1+0.2)^E16+F14/(1+0.2)^F16+G14/(1+0.2)^G16+(G14*(1+0.03)/(0.2-0.03))/(1+0.2)^G16+C33+C34+C35+C36</f>
        <v>1435.57623845975</v>
      </c>
      <c r="E45" s="10" t="n">
        <f aca="false">C14/(1+0.2)^C16+D14/(1+0.2)^D16+E14/(1+0.2)^E16+F14/(1+0.2)^F16+G14/(1+0.2)^G16+(G14*(1+0.04)/(0.2-0.04))/(1+0.2)^G16+C33+C34+C35+C36</f>
        <v>1493.83803275502</v>
      </c>
      <c r="F45" s="10" t="n">
        <f aca="false">C14/(1+0.2)^C16+D14/(1+0.2)^D16+E14/(1+0.2)^E16+F14/(1+0.2)^F16+G14/(1+0.2)^G16+(G14*(1+0.05)/(0.2-0.05))/(1+0.2)^G16+C33+C34+C35+C36</f>
        <v>1559.86806628967</v>
      </c>
    </row>
    <row r="46" customFormat="false" ht="15" hidden="false" customHeight="false" outlineLevel="0" collapsed="false">
      <c r="B46" s="47" t="n">
        <v>0.22</v>
      </c>
      <c r="C46" s="10" t="n">
        <f aca="false">C14/(1+0.22)^C16+D14/(1+0.22)^D16+E14/(1+0.22)^E16+F14/(1+0.22)^F16+G14/(1+0.22)^G16+(G14*(1+0.02)/(0.22-0.02))/(1+0.22)^G16+C33+C34+C35+C36</f>
        <v>1227.9956357295</v>
      </c>
      <c r="D46" s="48" t="n">
        <f aca="false">C14/(1+0.22)^C16+D14/(1+0.22)^D16+E14/(1+0.22)^E16+F14/(1+0.22)^F16+G14/(1+0.22)^G16+(G14*(1+0.03)/(0.22-0.03))/(1+0.22)^G16+C33+C34+C35+C36</f>
        <v>1267.25717560472</v>
      </c>
      <c r="E46" s="10" t="n">
        <f aca="false">C14/(1+0.22)^C16+D14/(1+0.22)^D16+E14/(1+0.22)^E16+F14/(1+0.22)^F16+G14/(1+0.22)^G16+(G14*(1+0.04)/(0.22-0.04))/(1+0.22)^G16+C33+C34+C35+C36</f>
        <v>1310.88110879941</v>
      </c>
      <c r="F46" s="10" t="n">
        <f aca="false">C14/(1+0.22)^C16+D14/(1+0.22)^D16+E14/(1+0.22)^E16+F14/(1+0.22)^F16+G14/(1+0.22)^G16+(G14*(1+0.05)/(0.22-0.05))/(1+0.22)^G16+C33+C34+C35+C36</f>
        <v>1359.63726942877</v>
      </c>
    </row>
    <row r="47" customFormat="false" ht="15" hidden="false" customHeight="false" outlineLevel="0" collapsed="false">
      <c r="B47" s="47" t="n">
        <v>0.24</v>
      </c>
      <c r="C47" s="10" t="n">
        <f aca="false">C14/(1+0.24)^C16+D14/(1+0.24)^D16+E14/(1+0.24)^E16+F14/(1+0.24)^F16+G14/(1+0.24)^G16+(G14*(1+0.02)/(0.24-0.02))/(1+0.24)^G16+C33+C34+C35+C36</f>
        <v>1101.00954075425</v>
      </c>
      <c r="D47" s="10" t="n">
        <f aca="false">C14/(1+0.24)^C16+D14/(1+0.24)^D16+E14/(1+0.24)^E16+F14/(1+0.24)^F16+G14/(1+0.24)^G16+(G14*(1+0.03)/(0.24-0.03))/(1+0.24)^G16+C33+C34+C35+C36</f>
        <v>1131.44172896669</v>
      </c>
      <c r="E47" s="10" t="n">
        <f aca="false">C14/(1+0.24)^C16+D14/(1+0.24)^D16+E14/(1+0.24)^E16+F14/(1+0.24)^F16+G14/(1+0.24)^G16+(G14*(1+0.04)/(0.24-0.04))/(1+0.24)^G16+C33+C34+C35+C36</f>
        <v>1164.91713600038</v>
      </c>
      <c r="F47" s="10" t="n">
        <f aca="false">C14/(1+0.24)^C16+D14/(1+0.24)^D16+E14/(1+0.24)^E16+F14/(1+0.24)^F16+G14/(1+0.24)^G16+(G14*(1+0.05)/(0.24-0.05))/(1+0.24)^G16+C33+C34+C35+C36</f>
        <v>1201.91627009025</v>
      </c>
    </row>
    <row r="48" customFormat="false" ht="15" hidden="false" customHeight="false" outlineLevel="0" collapsed="false">
      <c r="B48" s="47" t="n">
        <v>0.26</v>
      </c>
      <c r="C48" s="10" t="n">
        <f aca="false">C14/(1+0.26)^C16+D14/(1+0.26)^D16+E14/(1+0.26)^E16+F14/(1+0.26)^F16+G14/(1+0.26)^G16+(G14*(1+0.02)/(0.26-0.02))/(1+0.26)^G16+C33+C34+C35+C36</f>
        <v>995.597788499422</v>
      </c>
      <c r="D48" s="10" t="n">
        <f aca="false">C14/(1+0.26)^C16+D14/(1+0.26)^D16+E14/(1+0.26)^E16+F14/(1+0.26)^F16+G14/(1+0.26)^G16+(G14*(1+0.03)/(0.26-0.03))/(1+0.26)^G16+C33+C34+C35+C36</f>
        <v>1019.62330540445</v>
      </c>
      <c r="E48" s="10" t="n">
        <f aca="false">C14/(1+0.26)^C16+D14/(1+0.26)^D16+E14/(1+0.26)^E16+F14/(1+0.26)^F16+G14/(1+0.26)^G16+(G14*(1+0.04)/(0.26-0.04))/(1+0.26)^G16+C33+C34+C35+C36</f>
        <v>1045.83296020993</v>
      </c>
      <c r="F48" s="10" t="n">
        <f aca="false">C14/(1+0.26)^C16+D14/(1+0.26)^D16+E14/(1+0.26)^E16+F14/(1+0.26)^F16+G14/(1+0.26)^G16+(G14*(1+0.05)/(0.26-0.05))/(1+0.26)^G16+C33+C34+C35+C36</f>
        <v>1074.53877261594</v>
      </c>
    </row>
  </sheetData>
  <mergeCells count="4">
    <mergeCell ref="B2:J2"/>
    <mergeCell ref="A20:G20"/>
    <mergeCell ref="A27:G27"/>
    <mergeCell ref="A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6" min="3" style="0" width="17"/>
  </cols>
  <sheetData>
    <row r="2" customFormat="false" ht="17.35" hidden="false" customHeight="true" outlineLevel="0" collapsed="false">
      <c r="B2" s="28" t="s">
        <v>160</v>
      </c>
      <c r="C2" s="28"/>
      <c r="D2" s="28"/>
      <c r="E2" s="28"/>
      <c r="F2" s="28"/>
    </row>
    <row r="4" customFormat="false" ht="15" hidden="false" customHeight="true" outlineLevel="0" collapsed="false">
      <c r="A4" s="7" t="s">
        <v>161</v>
      </c>
      <c r="B4" s="7"/>
      <c r="C4" s="7"/>
      <c r="D4" s="7"/>
      <c r="E4" s="7"/>
      <c r="F4" s="7"/>
    </row>
    <row r="5" customFormat="false" ht="15" hidden="false" customHeight="false" outlineLevel="0" collapsed="false">
      <c r="B5" s="8" t="s">
        <v>14</v>
      </c>
      <c r="C5" s="8" t="s">
        <v>74</v>
      </c>
      <c r="D5" s="8" t="s">
        <v>75</v>
      </c>
      <c r="E5" s="8" t="s">
        <v>76</v>
      </c>
    </row>
    <row r="6" customFormat="false" ht="15" hidden="false" customHeight="false" outlineLevel="0" collapsed="false">
      <c r="B6" s="0" t="s">
        <v>162</v>
      </c>
      <c r="C6" s="13" t="n">
        <f aca="false">'P&amp;L Normalisé'!D6</f>
        <v>752.452067</v>
      </c>
      <c r="D6" s="13" t="n">
        <f aca="false">'P&amp;L Normalisé'!D6</f>
        <v>752.452067</v>
      </c>
      <c r="E6" s="13" t="n">
        <f aca="false">'P&amp;L Normalisé'!D6</f>
        <v>752.452067</v>
      </c>
    </row>
    <row r="7" customFormat="false" ht="15" hidden="false" customHeight="false" outlineLevel="0" collapsed="false">
      <c r="B7" s="0" t="s">
        <v>163</v>
      </c>
      <c r="C7" s="15" t="n">
        <v>0.2</v>
      </c>
      <c r="D7" s="15" t="n">
        <v>0.25</v>
      </c>
      <c r="E7" s="15" t="n">
        <v>0.3</v>
      </c>
    </row>
    <row r="8" customFormat="false" ht="15" hidden="false" customHeight="false" outlineLevel="0" collapsed="false">
      <c r="B8" s="3" t="s">
        <v>123</v>
      </c>
      <c r="C8" s="33" t="n">
        <f aca="false">C6*C7</f>
        <v>150.4904134</v>
      </c>
      <c r="D8" s="33" t="n">
        <f aca="false">D6*D7</f>
        <v>188.11301675</v>
      </c>
      <c r="E8" s="33" t="n">
        <f aca="false">E6*E7</f>
        <v>225.7356201</v>
      </c>
    </row>
    <row r="9" customFormat="false" ht="15" hidden="false" customHeight="false" outlineLevel="0" collapsed="false">
      <c r="B9" s="0" t="s">
        <v>164</v>
      </c>
      <c r="C9" s="49" t="n">
        <f aca="false">Hypothèses!C24</f>
        <v>3</v>
      </c>
      <c r="D9" s="49" t="n">
        <f aca="false">Hypothèses!D24</f>
        <v>4.5</v>
      </c>
      <c r="E9" s="49" t="n">
        <f aca="false">Hypothèses!E24</f>
        <v>6</v>
      </c>
    </row>
    <row r="10" customFormat="false" ht="15" hidden="false" customHeight="false" outlineLevel="0" collapsed="false">
      <c r="B10" s="38" t="s">
        <v>149</v>
      </c>
      <c r="C10" s="39" t="n">
        <f aca="false">C8*C9</f>
        <v>451.4712402</v>
      </c>
      <c r="D10" s="39" t="n">
        <f aca="false">D8*D9</f>
        <v>846.508575375</v>
      </c>
      <c r="E10" s="39" t="n">
        <f aca="false">E8*E9</f>
        <v>1354.4137206</v>
      </c>
    </row>
    <row r="12" customFormat="false" ht="15" hidden="false" customHeight="false" outlineLevel="0" collapsed="false">
      <c r="B12" s="0" t="s">
        <v>165</v>
      </c>
      <c r="C12" s="9" t="n">
        <v>20.6</v>
      </c>
      <c r="D12" s="9" t="n">
        <v>20.6</v>
      </c>
      <c r="E12" s="9" t="n">
        <v>20.6</v>
      </c>
    </row>
    <row r="13" customFormat="false" ht="15" hidden="false" customHeight="false" outlineLevel="0" collapsed="false">
      <c r="B13" s="0" t="s">
        <v>166</v>
      </c>
      <c r="C13" s="9" t="n">
        <v>-12.8</v>
      </c>
      <c r="D13" s="9" t="n">
        <v>-12.8</v>
      </c>
      <c r="E13" s="9" t="n">
        <v>-12.8</v>
      </c>
    </row>
    <row r="14" customFormat="false" ht="15" hidden="false" customHeight="false" outlineLevel="0" collapsed="false">
      <c r="B14" s="0" t="s">
        <v>167</v>
      </c>
      <c r="C14" s="12" t="n">
        <v>-150</v>
      </c>
      <c r="D14" s="12" t="n">
        <v>-100</v>
      </c>
      <c r="E14" s="12" t="n">
        <v>-50</v>
      </c>
    </row>
    <row r="15" customFormat="false" ht="15" hidden="false" customHeight="false" outlineLevel="0" collapsed="false">
      <c r="B15" s="16" t="s">
        <v>168</v>
      </c>
      <c r="C15" s="17" t="n">
        <f aca="false">C10+C12+C13+C14</f>
        <v>309.2712402</v>
      </c>
      <c r="D15" s="17" t="n">
        <f aca="false">D10+D12+D13+D14</f>
        <v>754.308575375</v>
      </c>
      <c r="E15" s="17" t="n">
        <f aca="false">E10+E12+E13+E14</f>
        <v>1312.2137206</v>
      </c>
    </row>
    <row r="20" customFormat="false" ht="15" hidden="false" customHeight="false" outlineLevel="0" collapsed="false">
      <c r="B20" s="19" t="s">
        <v>169</v>
      </c>
      <c r="C20" s="10" t="n">
        <f aca="false">C15</f>
        <v>309.2712402</v>
      </c>
      <c r="D20" s="10" t="n">
        <f aca="false">D15</f>
        <v>754.308575375</v>
      </c>
      <c r="E20" s="10" t="n">
        <f aca="false">E15</f>
        <v>1312.2137206</v>
      </c>
    </row>
    <row r="22" customFormat="false" ht="15" hidden="false" customHeight="true" outlineLevel="0" collapsed="false">
      <c r="A22" s="7" t="s">
        <v>170</v>
      </c>
      <c r="B22" s="7"/>
      <c r="C22" s="7"/>
      <c r="D22" s="7"/>
      <c r="E22" s="7"/>
      <c r="F22" s="7"/>
    </row>
    <row r="23" customFormat="false" ht="15" hidden="false" customHeight="false" outlineLevel="0" collapsed="false">
      <c r="B23" s="0" t="s">
        <v>171</v>
      </c>
      <c r="C23" s="13" t="n">
        <f aca="false">'P&amp;L Normalisé'!D6</f>
        <v>752.452067</v>
      </c>
      <c r="D23" s="13" t="n">
        <f aca="false">'P&amp;L Normalisé'!D6</f>
        <v>752.452067</v>
      </c>
      <c r="E23" s="13" t="n">
        <f aca="false">'P&amp;L Normalisé'!D6</f>
        <v>752.452067</v>
      </c>
    </row>
    <row r="24" customFormat="false" ht="15" hidden="false" customHeight="false" outlineLevel="0" collapsed="false">
      <c r="B24" s="0" t="s">
        <v>172</v>
      </c>
      <c r="C24" s="49" t="n">
        <f aca="false">Hypothèses!C25</f>
        <v>0.4</v>
      </c>
      <c r="D24" s="49" t="n">
        <f aca="false">Hypothèses!D25</f>
        <v>0.55</v>
      </c>
      <c r="E24" s="49" t="n">
        <f aca="false">Hypothèses!E25</f>
        <v>0.75</v>
      </c>
    </row>
    <row r="25" customFormat="false" ht="15" hidden="false" customHeight="false" outlineLevel="0" collapsed="false">
      <c r="B25" s="3" t="s">
        <v>173</v>
      </c>
      <c r="C25" s="33" t="n">
        <f aca="false">C23*C24</f>
        <v>300.9808268</v>
      </c>
      <c r="D25" s="33" t="n">
        <f aca="false">D23*D24</f>
        <v>413.84863685</v>
      </c>
      <c r="E25" s="33" t="n">
        <f aca="false">E23*E24</f>
        <v>564.33905025</v>
      </c>
    </row>
    <row r="26" customFormat="false" ht="15" hidden="false" customHeight="false" outlineLevel="0" collapsed="false">
      <c r="B26" s="0" t="s">
        <v>174</v>
      </c>
      <c r="C26" s="10" t="n">
        <f aca="false">C12+C13+C14</f>
        <v>-142.2</v>
      </c>
      <c r="D26" s="10" t="n">
        <f aca="false">D12+D13+D14</f>
        <v>-92.2</v>
      </c>
      <c r="E26" s="10" t="n">
        <f aca="false">E12+E13+E14</f>
        <v>-42.2</v>
      </c>
    </row>
    <row r="27" customFormat="false" ht="15" hidden="false" customHeight="false" outlineLevel="0" collapsed="false">
      <c r="B27" s="16" t="s">
        <v>168</v>
      </c>
      <c r="C27" s="17" t="n">
        <f aca="false">C25+C26</f>
        <v>158.7808268</v>
      </c>
      <c r="D27" s="17" t="n">
        <f aca="false">D25+D26</f>
        <v>321.64863685</v>
      </c>
      <c r="E27" s="17" t="n">
        <f aca="false">E25+E26</f>
        <v>522.13905025</v>
      </c>
    </row>
    <row r="29" customFormat="false" ht="15" hidden="false" customHeight="false" outlineLevel="0" collapsed="false">
      <c r="B29" s="19" t="s">
        <v>175</v>
      </c>
      <c r="C29" s="10" t="n">
        <f aca="false">C27</f>
        <v>158.7808268</v>
      </c>
      <c r="D29" s="10" t="n">
        <f aca="false">D27</f>
        <v>321.64863685</v>
      </c>
      <c r="E29" s="10" t="n">
        <f aca="false">E27</f>
        <v>522.13905025</v>
      </c>
    </row>
    <row r="31" customFormat="false" ht="15" hidden="false" customHeight="true" outlineLevel="0" collapsed="false">
      <c r="A31" s="7" t="s">
        <v>176</v>
      </c>
      <c r="B31" s="7"/>
      <c r="C31" s="7"/>
      <c r="D31" s="7"/>
      <c r="E31" s="7"/>
      <c r="F31" s="7"/>
    </row>
    <row r="32" customFormat="false" ht="15" hidden="false" customHeight="false" outlineLevel="0" collapsed="false">
      <c r="B32" s="0" t="s">
        <v>177</v>
      </c>
      <c r="C32" s="13" t="n">
        <f aca="false">'P&amp;L Normalisé'!E6</f>
        <v>1053.4328938</v>
      </c>
    </row>
    <row r="33" customFormat="false" ht="15" hidden="false" customHeight="false" outlineLevel="0" collapsed="false">
      <c r="B33" s="0" t="s">
        <v>178</v>
      </c>
      <c r="C33" s="49" t="n">
        <f aca="false">Hypothèses!C26</f>
        <v>0.3</v>
      </c>
      <c r="D33" s="49" t="n">
        <f aca="false">Hypothèses!D26</f>
        <v>0.4</v>
      </c>
      <c r="E33" s="49" t="n">
        <f aca="false">Hypothèses!E26</f>
        <v>0.55</v>
      </c>
    </row>
    <row r="34" customFormat="false" ht="15" hidden="false" customHeight="false" outlineLevel="0" collapsed="false">
      <c r="B34" s="0" t="s">
        <v>179</v>
      </c>
      <c r="C34" s="33" t="n">
        <f aca="false">$C$32*C33</f>
        <v>316.02986814</v>
      </c>
      <c r="D34" s="33" t="n">
        <f aca="false">$C$32*D33</f>
        <v>421.37315752</v>
      </c>
      <c r="E34" s="33" t="n">
        <f aca="false">$C$32*E33</f>
        <v>579.38809159</v>
      </c>
    </row>
  </sheetData>
  <mergeCells count="4">
    <mergeCell ref="B2:F2"/>
    <mergeCell ref="A4:F4"/>
    <mergeCell ref="A22:F22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6" min="3" style="0" width="17"/>
  </cols>
  <sheetData>
    <row r="2" customFormat="false" ht="17.35" hidden="false" customHeight="true" outlineLevel="0" collapsed="false">
      <c r="B2" s="28" t="s">
        <v>180</v>
      </c>
      <c r="C2" s="28"/>
      <c r="D2" s="28"/>
      <c r="E2" s="28"/>
      <c r="F2" s="28"/>
    </row>
    <row r="4" customFormat="false" ht="15" hidden="false" customHeight="false" outlineLevel="0" collapsed="false">
      <c r="B4" s="8" t="s">
        <v>181</v>
      </c>
      <c r="C4" s="8" t="s">
        <v>182</v>
      </c>
      <c r="D4" s="8" t="s">
        <v>183</v>
      </c>
      <c r="E4" s="8" t="s">
        <v>184</v>
      </c>
    </row>
    <row r="5" customFormat="false" ht="15" hidden="false" customHeight="false" outlineLevel="0" collapsed="false">
      <c r="B5" s="3" t="s">
        <v>185</v>
      </c>
    </row>
    <row r="6" customFormat="false" ht="15" hidden="false" customHeight="false" outlineLevel="0" collapsed="false">
      <c r="B6" s="0" t="s">
        <v>186</v>
      </c>
      <c r="C6" s="50" t="n">
        <v>9.015</v>
      </c>
      <c r="D6" s="50" t="n">
        <v>0</v>
      </c>
      <c r="E6" s="51" t="n">
        <f aca="false">C6+D6</f>
        <v>9.015</v>
      </c>
    </row>
    <row r="7" customFormat="false" ht="15" hidden="false" customHeight="false" outlineLevel="0" collapsed="false">
      <c r="B7" s="0" t="s">
        <v>187</v>
      </c>
      <c r="C7" s="50" t="n">
        <v>13.182</v>
      </c>
      <c r="D7" s="50" t="n">
        <v>0</v>
      </c>
      <c r="E7" s="51" t="n">
        <f aca="false">C7+D7</f>
        <v>13.182</v>
      </c>
    </row>
    <row r="8" customFormat="false" ht="15" hidden="false" customHeight="false" outlineLevel="0" collapsed="false">
      <c r="B8" s="0" t="s">
        <v>188</v>
      </c>
      <c r="C8" s="50" t="n">
        <v>3.2</v>
      </c>
      <c r="D8" s="50" t="n">
        <v>0</v>
      </c>
      <c r="E8" s="51" t="n">
        <f aca="false">C8+D8</f>
        <v>3.2</v>
      </c>
    </row>
    <row r="9" customFormat="false" ht="15" hidden="false" customHeight="false" outlineLevel="0" collapsed="false">
      <c r="B9" s="0" t="s">
        <v>189</v>
      </c>
      <c r="C9" s="50" t="n">
        <v>26.109</v>
      </c>
      <c r="D9" s="50" t="n">
        <v>-2.611</v>
      </c>
      <c r="E9" s="51" t="n">
        <f aca="false">C9+D9</f>
        <v>23.498</v>
      </c>
    </row>
    <row r="10" customFormat="false" ht="15" hidden="false" customHeight="false" outlineLevel="0" collapsed="false">
      <c r="B10" s="0" t="s">
        <v>190</v>
      </c>
      <c r="C10" s="50" t="n">
        <v>20.595</v>
      </c>
      <c r="D10" s="50" t="n">
        <v>0</v>
      </c>
      <c r="E10" s="51" t="n">
        <f aca="false">C10+D10</f>
        <v>20.595</v>
      </c>
    </row>
    <row r="11" customFormat="false" ht="15" hidden="false" customHeight="false" outlineLevel="0" collapsed="false">
      <c r="B11" s="38" t="s">
        <v>191</v>
      </c>
      <c r="C11" s="52" t="n">
        <f aca="false">SUM(C6:C10)</f>
        <v>72.101</v>
      </c>
      <c r="D11" s="52" t="n">
        <f aca="false">SUM(D6:D10)</f>
        <v>-2.611</v>
      </c>
      <c r="E11" s="52" t="n">
        <f aca="false">SUM(E6:E10)</f>
        <v>69.49</v>
      </c>
    </row>
    <row r="13" customFormat="false" ht="15" hidden="false" customHeight="false" outlineLevel="0" collapsed="false">
      <c r="B13" s="3" t="s">
        <v>192</v>
      </c>
    </row>
    <row r="14" customFormat="false" ht="15" hidden="false" customHeight="false" outlineLevel="0" collapsed="false">
      <c r="B14" s="0" t="s">
        <v>193</v>
      </c>
      <c r="C14" s="50" t="n">
        <v>12.796</v>
      </c>
      <c r="D14" s="50" t="n">
        <v>0</v>
      </c>
      <c r="E14" s="51" t="n">
        <f aca="false">C14+D14</f>
        <v>12.796</v>
      </c>
    </row>
    <row r="15" customFormat="false" ht="15" hidden="false" customHeight="false" outlineLevel="0" collapsed="false">
      <c r="B15" s="0" t="s">
        <v>194</v>
      </c>
      <c r="C15" s="50" t="n">
        <v>0</v>
      </c>
      <c r="D15" s="50" t="n">
        <v>0</v>
      </c>
      <c r="E15" s="51" t="n">
        <f aca="false">C15+D15</f>
        <v>0</v>
      </c>
    </row>
    <row r="16" customFormat="false" ht="15" hidden="false" customHeight="false" outlineLevel="0" collapsed="false">
      <c r="B16" s="0" t="s">
        <v>195</v>
      </c>
      <c r="C16" s="50" t="n">
        <v>100</v>
      </c>
      <c r="D16" s="50" t="n">
        <v>0</v>
      </c>
      <c r="E16" s="51" t="n">
        <f aca="false">C16+D16</f>
        <v>100</v>
      </c>
    </row>
    <row r="17" customFormat="false" ht="15" hidden="false" customHeight="false" outlineLevel="0" collapsed="false">
      <c r="B17" s="3" t="s">
        <v>196</v>
      </c>
      <c r="C17" s="53" t="n">
        <f aca="false">SUM(C14:C16)</f>
        <v>112.796</v>
      </c>
      <c r="D17" s="53" t="n">
        <f aca="false">SUM(D14:D16)</f>
        <v>0</v>
      </c>
      <c r="E17" s="53" t="n">
        <f aca="false">SUM(E14:E16)</f>
        <v>112.796</v>
      </c>
    </row>
    <row r="18" customFormat="false" ht="15" hidden="false" customHeight="false" outlineLevel="0" collapsed="false">
      <c r="B18" s="0" t="s">
        <v>197</v>
      </c>
      <c r="C18" s="9" t="n">
        <v>100</v>
      </c>
    </row>
    <row r="19" customFormat="false" ht="15" hidden="false" customHeight="false" outlineLevel="0" collapsed="false">
      <c r="B19" s="16" t="s">
        <v>198</v>
      </c>
      <c r="E19" s="17" t="n">
        <f aca="false">E11-E17+C18</f>
        <v>56.694</v>
      </c>
    </row>
    <row r="20" customFormat="false" ht="15" hidden="false" customHeight="false" outlineLevel="0" collapsed="false">
      <c r="B20" s="19" t="s">
        <v>199</v>
      </c>
      <c r="C20" s="10" t="n">
        <f aca="false">E19*0.6</f>
        <v>34.0164</v>
      </c>
      <c r="D20" s="10" t="n">
        <f aca="false">E19</f>
        <v>56.694</v>
      </c>
      <c r="E20" s="10" t="n">
        <f aca="false">E19*1.4</f>
        <v>79.3716</v>
      </c>
    </row>
    <row r="22" customFormat="false" ht="30" hidden="false" customHeight="true" outlineLevel="0" collapsed="false">
      <c r="B22" s="32" t="s">
        <v>200</v>
      </c>
      <c r="C22" s="32"/>
      <c r="D22" s="32"/>
      <c r="E22" s="32"/>
      <c r="F22" s="32"/>
    </row>
    <row r="23" customFormat="false" ht="15" hidden="false" customHeight="false" outlineLevel="0" collapsed="false">
      <c r="B23" s="32"/>
      <c r="C23" s="32"/>
      <c r="D23" s="32"/>
      <c r="E23" s="32"/>
      <c r="F23" s="32"/>
    </row>
  </sheetData>
  <mergeCells count="2">
    <mergeCell ref="B2:F2"/>
    <mergeCell ref="B22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6" min="3" style="0" width="18"/>
  </cols>
  <sheetData>
    <row r="2" customFormat="false" ht="17.35" hidden="false" customHeight="true" outlineLevel="0" collapsed="false">
      <c r="B2" s="28" t="s">
        <v>201</v>
      </c>
      <c r="C2" s="28"/>
      <c r="D2" s="28"/>
      <c r="E2" s="28"/>
      <c r="F2" s="28"/>
    </row>
    <row r="4" customFormat="false" ht="15" hidden="false" customHeight="false" outlineLevel="0" collapsed="false">
      <c r="B4" s="8" t="s">
        <v>202</v>
      </c>
      <c r="C4" s="8" t="s">
        <v>203</v>
      </c>
      <c r="D4" s="8" t="s">
        <v>204</v>
      </c>
    </row>
    <row r="5" customFormat="false" ht="15" hidden="false" customHeight="false" outlineLevel="0" collapsed="false">
      <c r="B5" s="0" t="s">
        <v>205</v>
      </c>
      <c r="C5" s="12" t="n">
        <v>9015464</v>
      </c>
      <c r="D5" s="12" t="n">
        <v>13455917</v>
      </c>
    </row>
    <row r="6" customFormat="false" ht="15" hidden="false" customHeight="false" outlineLevel="0" collapsed="false">
      <c r="B6" s="0" t="s">
        <v>187</v>
      </c>
      <c r="C6" s="12" t="n">
        <v>13181973</v>
      </c>
      <c r="D6" s="12" t="n">
        <v>16573748</v>
      </c>
    </row>
    <row r="7" customFormat="false" ht="15" hidden="false" customHeight="false" outlineLevel="0" collapsed="false">
      <c r="B7" s="54" t="s">
        <v>206</v>
      </c>
      <c r="C7" s="55" t="n">
        <v>5610973</v>
      </c>
      <c r="D7" s="55" t="n">
        <v>5273748</v>
      </c>
    </row>
    <row r="8" customFormat="false" ht="15" hidden="false" customHeight="false" outlineLevel="0" collapsed="false">
      <c r="B8" s="54" t="s">
        <v>207</v>
      </c>
      <c r="C8" s="55" t="n">
        <v>7571000</v>
      </c>
      <c r="D8" s="55" t="n">
        <v>11300000</v>
      </c>
    </row>
    <row r="9" customFormat="false" ht="15" hidden="false" customHeight="false" outlineLevel="0" collapsed="false">
      <c r="B9" s="0" t="s">
        <v>188</v>
      </c>
      <c r="C9" s="12" t="n">
        <v>3200000</v>
      </c>
      <c r="D9" s="12" t="n">
        <v>0</v>
      </c>
    </row>
    <row r="10" customFormat="false" ht="15" hidden="false" customHeight="false" outlineLevel="0" collapsed="false">
      <c r="B10" s="38" t="s">
        <v>208</v>
      </c>
      <c r="C10" s="39" t="n">
        <v>25397437</v>
      </c>
      <c r="D10" s="39" t="n">
        <v>30029665</v>
      </c>
    </row>
    <row r="11" customFormat="false" ht="15" hidden="false" customHeight="false" outlineLevel="0" collapsed="false">
      <c r="B11" s="0" t="s">
        <v>189</v>
      </c>
      <c r="C11" s="12" t="n">
        <v>26108540</v>
      </c>
      <c r="D11" s="12" t="n">
        <v>0</v>
      </c>
    </row>
    <row r="12" customFormat="false" ht="15" hidden="false" customHeight="false" outlineLevel="0" collapsed="false">
      <c r="B12" s="38" t="s">
        <v>209</v>
      </c>
      <c r="C12" s="39" t="n">
        <v>26108540</v>
      </c>
      <c r="D12" s="39" t="n">
        <v>0</v>
      </c>
    </row>
    <row r="13" customFormat="false" ht="15" hidden="false" customHeight="false" outlineLevel="0" collapsed="false">
      <c r="B13" s="0" t="s">
        <v>210</v>
      </c>
      <c r="C13" s="12" t="n">
        <v>20594958</v>
      </c>
      <c r="D13" s="12" t="n">
        <v>6285553</v>
      </c>
    </row>
    <row r="14" customFormat="false" ht="15" hidden="false" customHeight="false" outlineLevel="0" collapsed="false">
      <c r="B14" s="56" t="s">
        <v>211</v>
      </c>
      <c r="C14" s="57" t="n">
        <v>72100935</v>
      </c>
      <c r="D14" s="57" t="n">
        <v>36315218</v>
      </c>
    </row>
    <row r="17" customFormat="false" ht="15" hidden="false" customHeight="false" outlineLevel="0" collapsed="false">
      <c r="B17" s="8" t="s">
        <v>212</v>
      </c>
      <c r="C17" s="8" t="s">
        <v>203</v>
      </c>
      <c r="D17" s="8" t="s">
        <v>204</v>
      </c>
    </row>
    <row r="18" customFormat="false" ht="15" hidden="false" customHeight="false" outlineLevel="0" collapsed="false">
      <c r="B18" s="0" t="s">
        <v>213</v>
      </c>
      <c r="C18" s="12" t="n">
        <v>1000000</v>
      </c>
      <c r="D18" s="12" t="n">
        <v>1000000</v>
      </c>
    </row>
    <row r="19" customFormat="false" ht="15" hidden="false" customHeight="false" outlineLevel="0" collapsed="false">
      <c r="B19" s="0" t="s">
        <v>214</v>
      </c>
      <c r="C19" s="12" t="n">
        <v>-4100000</v>
      </c>
      <c r="D19" s="12" t="n">
        <v>0</v>
      </c>
    </row>
    <row r="20" customFormat="false" ht="15" hidden="false" customHeight="false" outlineLevel="0" collapsed="false">
      <c r="B20" s="0" t="s">
        <v>215</v>
      </c>
      <c r="C20" s="12" t="n">
        <v>62405336</v>
      </c>
      <c r="D20" s="12" t="n">
        <v>-15300000</v>
      </c>
    </row>
    <row r="21" customFormat="false" ht="15" hidden="false" customHeight="false" outlineLevel="0" collapsed="false">
      <c r="B21" s="38" t="s">
        <v>216</v>
      </c>
      <c r="C21" s="39" t="n">
        <v>59305336</v>
      </c>
      <c r="D21" s="39" t="n">
        <v>-14300000</v>
      </c>
    </row>
    <row r="22" customFormat="false" ht="15" hidden="false" customHeight="false" outlineLevel="0" collapsed="false">
      <c r="B22" s="0" t="s">
        <v>193</v>
      </c>
      <c r="C22" s="12" t="n">
        <v>12795599</v>
      </c>
      <c r="D22" s="12" t="n">
        <v>7037063</v>
      </c>
    </row>
    <row r="23" customFormat="false" ht="15" hidden="false" customHeight="false" outlineLevel="0" collapsed="false">
      <c r="B23" s="0" t="s">
        <v>194</v>
      </c>
      <c r="C23" s="12" t="n">
        <v>0</v>
      </c>
      <c r="D23" s="12" t="n">
        <v>19896828</v>
      </c>
    </row>
    <row r="24" customFormat="false" ht="15" hidden="false" customHeight="false" outlineLevel="0" collapsed="false">
      <c r="B24" s="0" t="s">
        <v>217</v>
      </c>
      <c r="C24" s="12" t="n">
        <v>0</v>
      </c>
      <c r="D24" s="12" t="n">
        <v>23681327</v>
      </c>
    </row>
    <row r="25" customFormat="false" ht="15" hidden="false" customHeight="false" outlineLevel="0" collapsed="false">
      <c r="B25" s="38" t="s">
        <v>218</v>
      </c>
      <c r="C25" s="39" t="n">
        <v>12795599</v>
      </c>
      <c r="D25" s="39" t="n">
        <v>50615218</v>
      </c>
    </row>
    <row r="26" customFormat="false" ht="15" hidden="false" customHeight="false" outlineLevel="0" collapsed="false">
      <c r="B26" s="0" t="s">
        <v>219</v>
      </c>
      <c r="C26" s="12" t="n">
        <v>0</v>
      </c>
      <c r="D26" s="12" t="n">
        <v>0</v>
      </c>
    </row>
    <row r="27" customFormat="false" ht="15" hidden="false" customHeight="false" outlineLevel="0" collapsed="false">
      <c r="B27" s="56" t="s">
        <v>220</v>
      </c>
      <c r="C27" s="57" t="n">
        <v>72100935</v>
      </c>
      <c r="D27" s="57" t="n">
        <v>36315218</v>
      </c>
    </row>
    <row r="30" customFormat="false" ht="15" hidden="false" customHeight="false" outlineLevel="0" collapsed="false">
      <c r="B30" s="29" t="s">
        <v>221</v>
      </c>
    </row>
    <row r="32" customFormat="false" ht="15" hidden="false" customHeight="false" outlineLevel="0" collapsed="false">
      <c r="B32" s="58" t="s">
        <v>222</v>
      </c>
      <c r="C32" s="58"/>
      <c r="D32" s="58"/>
      <c r="E32" s="58"/>
      <c r="F32" s="58"/>
    </row>
    <row r="33" customFormat="false" ht="15" hidden="false" customHeight="false" outlineLevel="0" collapsed="false">
      <c r="B33" s="0" t="s">
        <v>223</v>
      </c>
      <c r="C33" s="12" t="n">
        <v>243879644</v>
      </c>
    </row>
    <row r="34" customFormat="false" ht="15" hidden="false" customHeight="false" outlineLevel="0" collapsed="false">
      <c r="B34" s="0" t="s">
        <v>224</v>
      </c>
      <c r="C34" s="12" t="n">
        <v>752452067</v>
      </c>
    </row>
    <row r="35" customFormat="false" ht="15" hidden="false" customHeight="false" outlineLevel="0" collapsed="false">
      <c r="B35" s="0" t="s">
        <v>225</v>
      </c>
      <c r="C35" s="33" t="n">
        <f aca="false">C34-C33</f>
        <v>508572423</v>
      </c>
    </row>
    <row r="36" customFormat="false" ht="15" hidden="false" customHeight="false" outlineLevel="0" collapsed="false">
      <c r="B36" s="0" t="s">
        <v>226</v>
      </c>
      <c r="C36" s="59" t="n">
        <f aca="false">C35/C34</f>
        <v>0.675886804361719</v>
      </c>
    </row>
    <row r="38" customFormat="false" ht="15" hidden="false" customHeight="false" outlineLevel="0" collapsed="false">
      <c r="B38" s="60" t="s">
        <v>227</v>
      </c>
      <c r="C38" s="60"/>
      <c r="D38" s="60"/>
      <c r="E38" s="60"/>
      <c r="F38" s="60"/>
    </row>
  </sheetData>
  <mergeCells count="3">
    <mergeCell ref="B2:F2"/>
    <mergeCell ref="B32:F32"/>
    <mergeCell ref="B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2026-05-05T14:46:05Z</dcterms:created>
  <dc:creator>openpyxl</dc:creator>
  <dc:description/>
  <dc:language>en-US</dc:language>
  <cp:lastModifiedBy/>
  <dcterms:modified xsi:type="dcterms:W3CDTF">2026-05-05T14:46:05Z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