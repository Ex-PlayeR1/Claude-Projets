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onta\Mon Drive\1. Claude Projects\AT225 Valorisation\V2\"/>
    </mc:Choice>
  </mc:AlternateContent>
  <xr:revisionPtr revIDLastSave="0" documentId="13_ncr:1_{AFF072BC-DD58-4A00-969D-EB2B61CADAEA}" xr6:coauthVersionLast="47" xr6:coauthVersionMax="47" xr10:uidLastSave="{00000000-0000-0000-0000-000000000000}"/>
  <bookViews>
    <workbookView xWindow="-120" yWindow="-120" windowWidth="51840" windowHeight="21120" xr2:uid="{80B61F7D-BD72-4375-BCDF-0458560BD37F}"/>
  </bookViews>
  <sheets>
    <sheet name="2026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37" i="2" l="1"/>
  <c r="C37" i="2"/>
  <c r="D37" i="2"/>
  <c r="F37" i="2"/>
  <c r="G37" i="2"/>
  <c r="H37" i="2"/>
  <c r="I37" i="2"/>
  <c r="J37" i="2"/>
  <c r="K37" i="2"/>
  <c r="L37" i="2"/>
  <c r="M37" i="2"/>
  <c r="B37" i="2"/>
  <c r="C36" i="2"/>
  <c r="D36" i="2"/>
  <c r="E36" i="2"/>
  <c r="F36" i="2"/>
  <c r="G36" i="2"/>
  <c r="H36" i="2"/>
  <c r="I36" i="2"/>
  <c r="J36" i="2"/>
  <c r="K36" i="2"/>
  <c r="L36" i="2"/>
  <c r="M36" i="2"/>
  <c r="B36" i="2"/>
  <c r="C27" i="2"/>
  <c r="D27" i="2"/>
  <c r="E27" i="2"/>
  <c r="F27" i="2"/>
  <c r="G27" i="2"/>
  <c r="H27" i="2"/>
  <c r="I27" i="2"/>
  <c r="J27" i="2"/>
  <c r="K27" i="2"/>
  <c r="L27" i="2"/>
  <c r="M27" i="2"/>
  <c r="C26" i="2"/>
  <c r="D26" i="2"/>
  <c r="E26" i="2"/>
  <c r="F26" i="2"/>
  <c r="G26" i="2"/>
  <c r="H26" i="2"/>
  <c r="I26" i="2"/>
  <c r="J26" i="2"/>
  <c r="K26" i="2"/>
  <c r="L26" i="2"/>
  <c r="M26" i="2"/>
  <c r="B26" i="2"/>
  <c r="B27" i="2"/>
  <c r="C25" i="2"/>
  <c r="D25" i="2"/>
  <c r="E25" i="2"/>
  <c r="F25" i="2"/>
  <c r="G25" i="2"/>
  <c r="H25" i="2"/>
  <c r="I25" i="2"/>
  <c r="J25" i="2"/>
  <c r="K25" i="2"/>
  <c r="L25" i="2"/>
  <c r="M25" i="2"/>
  <c r="B25" i="2"/>
  <c r="C38" i="2" l="1"/>
  <c r="D38" i="2"/>
  <c r="E38" i="2"/>
  <c r="F38" i="2"/>
  <c r="G38" i="2"/>
  <c r="H38" i="2"/>
  <c r="I38" i="2"/>
  <c r="J38" i="2"/>
  <c r="K38" i="2"/>
  <c r="L38" i="2"/>
  <c r="M38" i="2"/>
  <c r="B38" i="2"/>
  <c r="C33" i="2"/>
  <c r="D33" i="2"/>
  <c r="E33" i="2"/>
  <c r="F33" i="2"/>
  <c r="G33" i="2"/>
  <c r="H33" i="2"/>
  <c r="I33" i="2"/>
  <c r="J33" i="2"/>
  <c r="K33" i="2"/>
  <c r="L33" i="2"/>
  <c r="M33" i="2"/>
  <c r="B33" i="2"/>
  <c r="C29" i="2"/>
  <c r="D29" i="2"/>
  <c r="E29" i="2"/>
  <c r="F29" i="2"/>
  <c r="G29" i="2"/>
  <c r="H29" i="2"/>
  <c r="I29" i="2"/>
  <c r="J29" i="2"/>
  <c r="K29" i="2"/>
  <c r="L29" i="2"/>
  <c r="M29" i="2"/>
  <c r="B29" i="2"/>
  <c r="C19" i="2"/>
  <c r="D19" i="2"/>
  <c r="E19" i="2"/>
  <c r="F19" i="2"/>
  <c r="G19" i="2"/>
  <c r="H19" i="2"/>
  <c r="I19" i="2"/>
  <c r="J19" i="2"/>
  <c r="K19" i="2"/>
  <c r="L19" i="2"/>
  <c r="M19" i="2"/>
  <c r="B19" i="2"/>
  <c r="C12" i="2"/>
  <c r="D12" i="2"/>
  <c r="E12" i="2"/>
  <c r="F12" i="2"/>
  <c r="G12" i="2"/>
  <c r="H12" i="2"/>
  <c r="I12" i="2"/>
  <c r="J12" i="2"/>
  <c r="K12" i="2"/>
  <c r="L12" i="2"/>
  <c r="M12" i="2"/>
  <c r="B12" i="2"/>
  <c r="C6" i="2"/>
  <c r="D6" i="2"/>
  <c r="E6" i="2"/>
  <c r="F6" i="2"/>
  <c r="G6" i="2"/>
  <c r="H6" i="2"/>
  <c r="I6" i="2"/>
  <c r="J6" i="2"/>
  <c r="K6" i="2"/>
  <c r="L6" i="2"/>
  <c r="M6" i="2"/>
  <c r="B6" i="2"/>
  <c r="K39" i="2" l="1"/>
  <c r="K40" i="2" s="1"/>
  <c r="C39" i="2"/>
  <c r="C40" i="2" s="1"/>
  <c r="M39" i="2"/>
  <c r="M40" i="2" s="1"/>
  <c r="G39" i="2"/>
  <c r="G40" i="2" s="1"/>
  <c r="L39" i="2"/>
  <c r="L40" i="2" s="1"/>
  <c r="D39" i="2"/>
  <c r="D40" i="2" s="1"/>
  <c r="J39" i="2"/>
  <c r="J40" i="2" s="1"/>
  <c r="I39" i="2"/>
  <c r="I40" i="2" s="1"/>
  <c r="F39" i="2"/>
  <c r="F40" i="2" s="1"/>
  <c r="H39" i="2"/>
  <c r="H40" i="2" s="1"/>
  <c r="B39" i="2"/>
  <c r="E39" i="2"/>
  <c r="E40" i="2" s="1"/>
  <c r="B40" i="2" l="1"/>
</calcChain>
</file>

<file path=xl/sharedStrings.xml><?xml version="1.0" encoding="utf-8"?>
<sst xmlns="http://schemas.openxmlformats.org/spreadsheetml/2006/main" count="54" uniqueCount="54">
  <si>
    <t>FEVRIER</t>
  </si>
  <si>
    <t>MARS</t>
  </si>
  <si>
    <t>AVRIL</t>
  </si>
  <si>
    <t>MAI</t>
  </si>
  <si>
    <t>JUIN</t>
  </si>
  <si>
    <t>JUILLET</t>
  </si>
  <si>
    <t>AOUT</t>
  </si>
  <si>
    <t>SEPTEMBRE</t>
  </si>
  <si>
    <t>OCTOBRE</t>
  </si>
  <si>
    <t>NOVEMBRE</t>
  </si>
  <si>
    <t>DECEMBRE</t>
  </si>
  <si>
    <t>Achat de materiel ,transport et informatique</t>
  </si>
  <si>
    <t>Fourniture non stocckables (carburant)</t>
  </si>
  <si>
    <t>Prime d'assurance</t>
  </si>
  <si>
    <t>Locations, charges locatives</t>
  </si>
  <si>
    <t>Entretien, réparations et maintenance</t>
  </si>
  <si>
    <t>Publicité, publications, relation publiques</t>
  </si>
  <si>
    <t>Frais de télécommunication</t>
  </si>
  <si>
    <t>Autres frais de communication (internet)</t>
  </si>
  <si>
    <t>Rémunérations d'intermédiaires et conseils</t>
  </si>
  <si>
    <t>Frais de formation du personnel (MASE et HSE)</t>
  </si>
  <si>
    <t>Rémunérations de personnel extérieur (independants)</t>
  </si>
  <si>
    <t>Autres charges externes</t>
  </si>
  <si>
    <t>Pénalités, Amendes fiscales</t>
  </si>
  <si>
    <t>Autres achats</t>
  </si>
  <si>
    <t>Autres frais de transport</t>
  </si>
  <si>
    <t>Rémunérations directes versées au personnel</t>
  </si>
  <si>
    <t>Indemnités forfaitaires versées au personnel (Gérant)</t>
  </si>
  <si>
    <t>Charges sociales</t>
  </si>
  <si>
    <t>Autres charges sociales</t>
  </si>
  <si>
    <t>JANVIER</t>
  </si>
  <si>
    <t>Fournitures non stockables (CIE)</t>
  </si>
  <si>
    <t>Fournitures non stocckables (sodeci)</t>
  </si>
  <si>
    <t>Services vendus</t>
  </si>
  <si>
    <t>Total Encaissement</t>
  </si>
  <si>
    <t xml:space="preserve">Achat fournitures de bureau </t>
  </si>
  <si>
    <t>Tresorerie(N)</t>
  </si>
  <si>
    <t>Total Approvisionnement</t>
  </si>
  <si>
    <t>Total Service Exterieurs</t>
  </si>
  <si>
    <t>Total Autres Services Exterieurs</t>
  </si>
  <si>
    <t>Total Impots</t>
  </si>
  <si>
    <t xml:space="preserve">Total Autres Achats et Autres Charges </t>
  </si>
  <si>
    <t>Total Salaires</t>
  </si>
  <si>
    <t>Total des Décaissements</t>
  </si>
  <si>
    <t>Solde de Tresorerie</t>
  </si>
  <si>
    <t>Its et Fdfp</t>
  </si>
  <si>
    <t>PLAN DE TRESORERIE 2026 SUR 12 MOIS</t>
  </si>
  <si>
    <t>Charges diverses (Dons à l'orphelinat + CPM)</t>
  </si>
  <si>
    <t>Frais bancaires (et mobile money)</t>
  </si>
  <si>
    <t>Impôts et taxes directs (Micro-Entreprise puis RSI)</t>
  </si>
  <si>
    <t>Eulalie</t>
  </si>
  <si>
    <t>Avocat en Mai</t>
  </si>
  <si>
    <t>uniconseil</t>
  </si>
  <si>
    <t>Com Joseph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</si>
</sst>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_-* #,##0_-;\-* #,##0_-;_-* &quot;-&quot;??_-;_-@_-"/>
  </numFmts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theme="1"/>
      <name val="Times New Roman"/>
      <family val="1"/>
    </font>
    <font>
      <sz val="14"/>
      <color theme="1"/>
      <name val="Times New Roman"/>
      <family val="1"/>
    </font>
    <font>
      <sz val="14"/>
      <color theme="1"/>
      <name val="Calibri"/>
      <family val="2"/>
      <scheme val="minor"/>
    </font>
    <font>
      <b/>
      <u/>
      <sz val="14"/>
      <color theme="1"/>
      <name val="Calibri"/>
      <family val="2"/>
      <scheme val="minor"/>
    </font>
    <font>
      <sz val="1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7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 tint="0.59999389629810485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6">
    <xf numFmtId="0" fontId="0" fillId="0" borderId="0" xfId="0"/>
    <xf numFmtId="164" fontId="0" fillId="0" borderId="1" xfId="1" applyNumberFormat="1" applyFont="1" applyBorder="1"/>
    <xf numFmtId="164" fontId="0" fillId="0" borderId="0" xfId="0" applyNumberFormat="1"/>
    <xf numFmtId="0" fontId="2" fillId="3" borderId="1" xfId="0" applyFont="1" applyFill="1" applyBorder="1" applyAlignment="1" applyProtection="1">
      <alignment horizontal="center" vertical="center"/>
      <protection locked="0"/>
    </xf>
    <xf numFmtId="0" fontId="2" fillId="5" borderId="2" xfId="0" applyFont="1" applyFill="1" applyBorder="1" applyAlignment="1" applyProtection="1">
      <alignment horizontal="left" vertical="center"/>
      <protection locked="0"/>
    </xf>
    <xf numFmtId="0" fontId="3" fillId="0" borderId="1" xfId="0" applyFont="1" applyBorder="1" applyAlignment="1" applyProtection="1">
      <alignment horizontal="left" vertical="center"/>
      <protection locked="0"/>
    </xf>
    <xf numFmtId="0" fontId="2" fillId="4" borderId="2" xfId="0" applyFont="1" applyFill="1" applyBorder="1" applyAlignment="1" applyProtection="1">
      <alignment horizontal="left" vertical="center"/>
      <protection locked="0"/>
    </xf>
    <xf numFmtId="0" fontId="2" fillId="4" borderId="2" xfId="0" applyFont="1" applyFill="1" applyBorder="1" applyAlignment="1" applyProtection="1">
      <alignment horizontal="left"/>
      <protection locked="0"/>
    </xf>
    <xf numFmtId="164" fontId="0" fillId="4" borderId="1" xfId="1" applyNumberFormat="1" applyFont="1" applyFill="1" applyBorder="1"/>
    <xf numFmtId="164" fontId="0" fillId="5" borderId="1" xfId="1" applyNumberFormat="1" applyFont="1" applyFill="1" applyBorder="1"/>
    <xf numFmtId="0" fontId="4" fillId="2" borderId="2" xfId="0" applyFont="1" applyFill="1" applyBorder="1" applyAlignment="1">
      <alignment horizontal="left"/>
    </xf>
    <xf numFmtId="164" fontId="0" fillId="2" borderId="1" xfId="0" applyNumberFormat="1" applyFill="1" applyBorder="1"/>
    <xf numFmtId="0" fontId="0" fillId="3" borderId="1" xfId="0" applyFill="1" applyBorder="1" applyAlignment="1">
      <alignment horizontal="center"/>
    </xf>
    <xf numFmtId="164" fontId="0" fillId="0" borderId="1" xfId="1" applyNumberFormat="1" applyFont="1" applyFill="1" applyBorder="1"/>
    <xf numFmtId="0" fontId="6" fillId="3" borderId="1" xfId="0" applyFont="1" applyFill="1" applyBorder="1" applyAlignment="1">
      <alignment horizontal="center"/>
    </xf>
    <xf numFmtId="0" fontId="5" fillId="0" borderId="0" xfId="0" applyFont="1" applyAlignment="1">
      <alignment horizontal="center"/>
    </xf>
  </cellXfs>
  <cellStyles count="2">
    <cellStyle name="Milliers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 2013 –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697976-3C8B-4EB7-A82D-0CB8EAA29E57}">
  <dimension ref="A2:Q40"/>
  <sheetViews>
    <sheetView tabSelected="1" zoomScaleNormal="100" workbookViewId="0">
      <selection activeCell="E40" sqref="E40"/>
    </sheetView>
  </sheetViews>
  <sheetFormatPr baseColWidth="10" defaultColWidth="9.140625" defaultRowHeight="15" x14ac:dyDescent="0.25"/>
  <cols>
    <col min="1" max="1" width="56.85546875" customWidth="1"/>
    <col min="2" max="2" width="12.85546875" customWidth="1"/>
    <col min="3" max="4" width="12.140625" customWidth="1"/>
    <col min="5" max="5" width="12.5703125" customWidth="1"/>
    <col min="6" max="6" width="13.140625" customWidth="1"/>
    <col min="7" max="7" width="13.42578125" customWidth="1"/>
    <col min="8" max="8" width="14.28515625" customWidth="1"/>
    <col min="9" max="9" width="15" customWidth="1"/>
    <col min="10" max="10" width="15.42578125" customWidth="1"/>
    <col min="11" max="11" width="15.85546875" customWidth="1"/>
    <col min="12" max="12" width="15" customWidth="1"/>
    <col min="13" max="13" width="15.42578125" customWidth="1"/>
    <col min="14" max="14" width="12.42578125" customWidth="1"/>
  </cols>
  <sheetData>
    <row r="2" spans="1:14" ht="18.75" x14ac:dyDescent="0.3">
      <c r="A2" s="15" t="s">
        <v>46</v>
      </c>
      <c r="B2" s="15"/>
      <c r="C2" s="15"/>
      <c r="D2" s="15"/>
      <c r="E2" s="15"/>
      <c r="F2" s="15"/>
      <c r="G2" s="15"/>
      <c r="H2" s="15"/>
      <c r="I2" s="15"/>
      <c r="J2" s="15"/>
      <c r="K2" s="15"/>
    </row>
    <row r="4" spans="1:14" ht="18.75" x14ac:dyDescent="0.25">
      <c r="A4" s="3" t="s">
        <v>36</v>
      </c>
      <c r="B4" s="12" t="s">
        <v>30</v>
      </c>
      <c r="C4" s="14" t="s">
        <v>0</v>
      </c>
      <c r="D4" s="12" t="s">
        <v>1</v>
      </c>
      <c r="E4" s="12" t="s">
        <v>2</v>
      </c>
      <c r="F4" s="12" t="s">
        <v>3</v>
      </c>
      <c r="G4" s="12" t="s">
        <v>4</v>
      </c>
      <c r="H4" s="12" t="s">
        <v>5</v>
      </c>
      <c r="I4" s="12" t="s">
        <v>6</v>
      </c>
      <c r="J4" s="12" t="s">
        <v>7</v>
      </c>
      <c r="K4" s="12" t="s">
        <v>8</v>
      </c>
      <c r="L4" s="12" t="s">
        <v>9</v>
      </c>
      <c r="M4" s="12" t="s">
        <v>10</v>
      </c>
    </row>
    <row r="5" spans="1:14" ht="18.75" x14ac:dyDescent="0.25">
      <c r="A5" s="5" t="s">
        <v>33</v>
      </c>
      <c r="B5" s="1">
        <v>80000000</v>
      </c>
      <c r="C5" s="1">
        <v>80000000</v>
      </c>
      <c r="D5" s="1">
        <v>95000000</v>
      </c>
      <c r="E5" s="1">
        <v>140000000</v>
      </c>
      <c r="F5" s="1">
        <v>145000000</v>
      </c>
      <c r="G5" s="1">
        <v>150000000</v>
      </c>
      <c r="H5" s="1">
        <v>160000000</v>
      </c>
      <c r="I5" s="1">
        <v>160000000</v>
      </c>
      <c r="J5" s="1">
        <v>170000000</v>
      </c>
      <c r="K5" s="1">
        <v>170000000</v>
      </c>
      <c r="L5" s="1">
        <v>180000000</v>
      </c>
      <c r="M5" s="1">
        <v>180000000</v>
      </c>
      <c r="N5" s="2"/>
    </row>
    <row r="6" spans="1:14" ht="18.75" x14ac:dyDescent="0.25">
      <c r="A6" s="6" t="s">
        <v>34</v>
      </c>
      <c r="B6" s="8">
        <f>+B5</f>
        <v>80000000</v>
      </c>
      <c r="C6" s="8">
        <f t="shared" ref="C6:M6" si="0">+C5</f>
        <v>80000000</v>
      </c>
      <c r="D6" s="8">
        <f t="shared" si="0"/>
        <v>95000000</v>
      </c>
      <c r="E6" s="8">
        <f t="shared" si="0"/>
        <v>140000000</v>
      </c>
      <c r="F6" s="8">
        <f t="shared" si="0"/>
        <v>145000000</v>
      </c>
      <c r="G6" s="8">
        <f t="shared" si="0"/>
        <v>150000000</v>
      </c>
      <c r="H6" s="8">
        <f t="shared" si="0"/>
        <v>160000000</v>
      </c>
      <c r="I6" s="8">
        <f t="shared" si="0"/>
        <v>160000000</v>
      </c>
      <c r="J6" s="8">
        <f t="shared" si="0"/>
        <v>170000000</v>
      </c>
      <c r="K6" s="8">
        <f t="shared" si="0"/>
        <v>170000000</v>
      </c>
      <c r="L6" s="8">
        <f t="shared" si="0"/>
        <v>180000000</v>
      </c>
      <c r="M6" s="8">
        <f t="shared" si="0"/>
        <v>180000000</v>
      </c>
    </row>
    <row r="7" spans="1:14" ht="18.75" x14ac:dyDescent="0.25">
      <c r="A7" s="5" t="s">
        <v>11</v>
      </c>
      <c r="B7" s="1">
        <v>400000</v>
      </c>
      <c r="C7" s="1">
        <v>600000</v>
      </c>
      <c r="D7" s="1">
        <v>150000</v>
      </c>
      <c r="E7" s="1">
        <v>800000</v>
      </c>
      <c r="F7" s="1">
        <v>400000</v>
      </c>
      <c r="G7" s="1">
        <v>400000</v>
      </c>
      <c r="H7" s="1">
        <v>400000</v>
      </c>
      <c r="I7" s="1">
        <v>200000</v>
      </c>
      <c r="J7" s="1">
        <v>200000</v>
      </c>
      <c r="K7" s="1">
        <v>200000</v>
      </c>
      <c r="L7" s="1">
        <v>200000</v>
      </c>
      <c r="M7" s="1">
        <v>200000</v>
      </c>
    </row>
    <row r="8" spans="1:14" ht="18.75" x14ac:dyDescent="0.25">
      <c r="A8" s="5" t="s">
        <v>32</v>
      </c>
      <c r="B8" s="1">
        <v>3000</v>
      </c>
      <c r="C8" s="1">
        <v>3000</v>
      </c>
      <c r="D8" s="1">
        <v>3000</v>
      </c>
      <c r="E8" s="1">
        <v>3000</v>
      </c>
      <c r="F8" s="1">
        <v>3000</v>
      </c>
      <c r="G8" s="1">
        <v>600000</v>
      </c>
      <c r="H8" s="1">
        <v>600000</v>
      </c>
      <c r="I8" s="1">
        <v>600000</v>
      </c>
      <c r="J8" s="1">
        <v>600000</v>
      </c>
      <c r="K8" s="1">
        <v>600000</v>
      </c>
      <c r="L8" s="1">
        <v>600000</v>
      </c>
      <c r="M8" s="1">
        <v>600000</v>
      </c>
    </row>
    <row r="9" spans="1:14" ht="18.75" x14ac:dyDescent="0.25">
      <c r="A9" s="5" t="s">
        <v>31</v>
      </c>
      <c r="B9" s="1">
        <v>0</v>
      </c>
      <c r="C9" s="1">
        <v>150000</v>
      </c>
      <c r="D9" s="1">
        <v>0</v>
      </c>
      <c r="E9" s="1">
        <v>150000</v>
      </c>
      <c r="F9" s="1">
        <v>0</v>
      </c>
      <c r="G9" s="1">
        <v>200000</v>
      </c>
      <c r="H9" s="1">
        <v>0</v>
      </c>
      <c r="I9" s="1">
        <v>200000</v>
      </c>
      <c r="J9" s="1">
        <v>0</v>
      </c>
      <c r="K9" s="1">
        <v>200000</v>
      </c>
      <c r="L9" s="1">
        <v>0</v>
      </c>
      <c r="M9" s="1">
        <v>200000</v>
      </c>
    </row>
    <row r="10" spans="1:14" ht="18.75" x14ac:dyDescent="0.25">
      <c r="A10" s="5" t="s">
        <v>35</v>
      </c>
      <c r="B10" s="1">
        <v>102200</v>
      </c>
      <c r="C10" s="1">
        <v>55000</v>
      </c>
      <c r="D10" s="1">
        <v>55000</v>
      </c>
      <c r="E10" s="1">
        <v>200000</v>
      </c>
      <c r="F10" s="1">
        <v>200000</v>
      </c>
      <c r="G10" s="1">
        <v>400000</v>
      </c>
      <c r="H10" s="1">
        <v>200000</v>
      </c>
      <c r="I10" s="1">
        <v>200000</v>
      </c>
      <c r="J10" s="1">
        <v>200000</v>
      </c>
      <c r="K10" s="1">
        <v>200000</v>
      </c>
      <c r="L10" s="1">
        <v>200000</v>
      </c>
      <c r="M10" s="1">
        <v>200000</v>
      </c>
    </row>
    <row r="11" spans="1:14" ht="18.75" x14ac:dyDescent="0.25">
      <c r="A11" s="5" t="s">
        <v>12</v>
      </c>
      <c r="B11" s="1">
        <v>300000</v>
      </c>
      <c r="C11" s="1">
        <v>300000</v>
      </c>
      <c r="D11" s="1">
        <v>500000</v>
      </c>
      <c r="E11" s="1">
        <v>700000</v>
      </c>
      <c r="F11" s="1">
        <v>700000</v>
      </c>
      <c r="G11" s="1">
        <v>700000</v>
      </c>
      <c r="H11" s="1">
        <v>700000</v>
      </c>
      <c r="I11" s="1">
        <v>700000</v>
      </c>
      <c r="J11" s="1">
        <v>700000</v>
      </c>
      <c r="K11" s="1">
        <v>700000</v>
      </c>
      <c r="L11" s="1">
        <v>700000</v>
      </c>
      <c r="M11" s="1">
        <v>700000</v>
      </c>
    </row>
    <row r="12" spans="1:14" ht="18.75" x14ac:dyDescent="0.25">
      <c r="A12" s="6" t="s">
        <v>37</v>
      </c>
      <c r="B12" s="8">
        <f t="shared" ref="B12:M12" si="1">+B7+B8+B9+B10+B11</f>
        <v>805200</v>
      </c>
      <c r="C12" s="8">
        <f t="shared" si="1"/>
        <v>1108000</v>
      </c>
      <c r="D12" s="8">
        <f t="shared" si="1"/>
        <v>708000</v>
      </c>
      <c r="E12" s="8">
        <f t="shared" si="1"/>
        <v>1853000</v>
      </c>
      <c r="F12" s="8">
        <f t="shared" si="1"/>
        <v>1303000</v>
      </c>
      <c r="G12" s="8">
        <f t="shared" si="1"/>
        <v>2300000</v>
      </c>
      <c r="H12" s="8">
        <f t="shared" si="1"/>
        <v>1900000</v>
      </c>
      <c r="I12" s="8">
        <f t="shared" si="1"/>
        <v>1900000</v>
      </c>
      <c r="J12" s="8">
        <f t="shared" si="1"/>
        <v>1700000</v>
      </c>
      <c r="K12" s="8">
        <f t="shared" si="1"/>
        <v>1900000</v>
      </c>
      <c r="L12" s="8">
        <f t="shared" si="1"/>
        <v>1700000</v>
      </c>
      <c r="M12" s="8">
        <f t="shared" si="1"/>
        <v>1900000</v>
      </c>
    </row>
    <row r="13" spans="1:14" ht="18.75" x14ac:dyDescent="0.25">
      <c r="A13" s="5" t="s">
        <v>14</v>
      </c>
      <c r="B13" s="1">
        <v>800000</v>
      </c>
      <c r="C13" s="1">
        <v>800000</v>
      </c>
      <c r="D13" s="1">
        <v>800000</v>
      </c>
      <c r="E13" s="1">
        <v>800000</v>
      </c>
      <c r="F13" s="1">
        <v>800000</v>
      </c>
      <c r="G13" s="1">
        <v>1000000</v>
      </c>
      <c r="H13" s="1">
        <v>1000000</v>
      </c>
      <c r="I13" s="1">
        <v>1000000</v>
      </c>
      <c r="J13" s="1">
        <v>1000000</v>
      </c>
      <c r="K13" s="1">
        <v>1000000</v>
      </c>
      <c r="L13" s="1">
        <v>1000000</v>
      </c>
      <c r="M13" s="1">
        <v>1000000</v>
      </c>
    </row>
    <row r="14" spans="1:14" ht="18.75" x14ac:dyDescent="0.25">
      <c r="A14" s="5" t="s">
        <v>15</v>
      </c>
      <c r="B14" s="1">
        <v>100000</v>
      </c>
      <c r="C14" s="1">
        <v>100000</v>
      </c>
      <c r="D14" s="1">
        <v>100000</v>
      </c>
      <c r="E14" s="1">
        <v>150000</v>
      </c>
      <c r="F14" s="1">
        <v>150000</v>
      </c>
      <c r="G14" s="1">
        <v>200000</v>
      </c>
      <c r="H14" s="1">
        <v>200000</v>
      </c>
      <c r="I14" s="1">
        <v>200000</v>
      </c>
      <c r="J14" s="1">
        <v>200000</v>
      </c>
      <c r="K14" s="1">
        <v>200000</v>
      </c>
      <c r="L14" s="1">
        <v>200000</v>
      </c>
      <c r="M14" s="1">
        <v>200000</v>
      </c>
    </row>
    <row r="15" spans="1:14" ht="18.75" x14ac:dyDescent="0.25">
      <c r="A15" s="5" t="s">
        <v>13</v>
      </c>
      <c r="B15" s="1">
        <v>600000</v>
      </c>
      <c r="C15" s="1">
        <v>600000</v>
      </c>
      <c r="D15" s="1">
        <v>600000</v>
      </c>
      <c r="E15" s="1">
        <v>900000</v>
      </c>
      <c r="F15" s="1">
        <v>900000</v>
      </c>
      <c r="G15" s="1">
        <v>900000</v>
      </c>
      <c r="H15" s="1">
        <v>900000</v>
      </c>
      <c r="I15" s="1">
        <v>1100000</v>
      </c>
      <c r="J15" s="1">
        <v>1100000</v>
      </c>
      <c r="K15" s="1">
        <v>1100000</v>
      </c>
      <c r="L15" s="1">
        <v>1100000</v>
      </c>
      <c r="M15" s="1">
        <v>1100000</v>
      </c>
    </row>
    <row r="16" spans="1:14" ht="18.75" x14ac:dyDescent="0.25">
      <c r="A16" s="5" t="s">
        <v>16</v>
      </c>
      <c r="B16" s="1">
        <v>200000</v>
      </c>
      <c r="C16" s="1">
        <v>200000</v>
      </c>
      <c r="D16" s="1">
        <v>150000</v>
      </c>
      <c r="E16" s="1">
        <v>650000</v>
      </c>
      <c r="F16" s="1">
        <v>650000</v>
      </c>
      <c r="G16" s="1">
        <v>650000</v>
      </c>
      <c r="H16" s="1">
        <v>650000</v>
      </c>
      <c r="I16" s="1">
        <v>250000</v>
      </c>
      <c r="J16" s="1">
        <v>350000</v>
      </c>
      <c r="K16" s="1">
        <v>350000</v>
      </c>
      <c r="L16" s="1">
        <v>350000</v>
      </c>
      <c r="M16" s="1">
        <v>350000</v>
      </c>
    </row>
    <row r="17" spans="1:17" ht="18.75" x14ac:dyDescent="0.25">
      <c r="A17" s="5" t="s">
        <v>17</v>
      </c>
      <c r="B17" s="1">
        <v>60000</v>
      </c>
      <c r="C17" s="1">
        <v>60000</v>
      </c>
      <c r="D17" s="1">
        <v>60000</v>
      </c>
      <c r="E17" s="1">
        <v>200000</v>
      </c>
      <c r="F17" s="1">
        <v>200000</v>
      </c>
      <c r="G17" s="1">
        <v>200000</v>
      </c>
      <c r="H17" s="1">
        <v>200000</v>
      </c>
      <c r="I17" s="1">
        <v>200000</v>
      </c>
      <c r="J17" s="1">
        <v>200000</v>
      </c>
      <c r="K17" s="1">
        <v>200000</v>
      </c>
      <c r="L17" s="1">
        <v>200000</v>
      </c>
      <c r="M17" s="1">
        <v>200000</v>
      </c>
    </row>
    <row r="18" spans="1:17" ht="18.75" x14ac:dyDescent="0.25">
      <c r="A18" s="5" t="s">
        <v>18</v>
      </c>
      <c r="B18" s="1">
        <v>35000</v>
      </c>
      <c r="C18" s="1">
        <v>35000</v>
      </c>
      <c r="D18" s="1">
        <v>35000</v>
      </c>
      <c r="E18" s="1">
        <v>70000</v>
      </c>
      <c r="F18" s="1">
        <v>70000</v>
      </c>
      <c r="G18" s="1">
        <v>70000</v>
      </c>
      <c r="H18" s="1">
        <v>70000</v>
      </c>
      <c r="I18" s="1">
        <v>70000</v>
      </c>
      <c r="J18" s="1">
        <v>70000</v>
      </c>
      <c r="K18" s="1">
        <v>70000</v>
      </c>
      <c r="L18" s="1">
        <v>70000</v>
      </c>
      <c r="M18" s="1">
        <v>70000</v>
      </c>
    </row>
    <row r="19" spans="1:17" ht="18.75" x14ac:dyDescent="0.25">
      <c r="A19" s="6" t="s">
        <v>38</v>
      </c>
      <c r="B19" s="8">
        <f>+B13+B14+B15+B16+B17+B18</f>
        <v>1795000</v>
      </c>
      <c r="C19" s="8">
        <f t="shared" ref="C19:M19" si="2">+C13+C14+C15+C16+C17+C18</f>
        <v>1795000</v>
      </c>
      <c r="D19" s="8">
        <f t="shared" si="2"/>
        <v>1745000</v>
      </c>
      <c r="E19" s="8">
        <f t="shared" si="2"/>
        <v>2770000</v>
      </c>
      <c r="F19" s="8">
        <f t="shared" si="2"/>
        <v>2770000</v>
      </c>
      <c r="G19" s="8">
        <f t="shared" si="2"/>
        <v>3020000</v>
      </c>
      <c r="H19" s="8">
        <f t="shared" si="2"/>
        <v>3020000</v>
      </c>
      <c r="I19" s="8">
        <f t="shared" si="2"/>
        <v>2820000</v>
      </c>
      <c r="J19" s="8">
        <f t="shared" si="2"/>
        <v>2920000</v>
      </c>
      <c r="K19" s="8">
        <f t="shared" si="2"/>
        <v>2920000</v>
      </c>
      <c r="L19" s="8">
        <f t="shared" si="2"/>
        <v>2920000</v>
      </c>
      <c r="M19" s="8">
        <f t="shared" si="2"/>
        <v>2920000</v>
      </c>
    </row>
    <row r="20" spans="1:17" ht="18.75" x14ac:dyDescent="0.25">
      <c r="A20" s="5" t="s">
        <v>48</v>
      </c>
      <c r="B20" s="1">
        <v>80000</v>
      </c>
      <c r="C20" s="1">
        <v>80000</v>
      </c>
      <c r="D20" s="1">
        <v>250000</v>
      </c>
      <c r="E20" s="1">
        <v>1000000</v>
      </c>
      <c r="F20" s="1">
        <v>1000000</v>
      </c>
      <c r="G20" s="1">
        <v>1000000</v>
      </c>
      <c r="H20" s="1">
        <v>1000000</v>
      </c>
      <c r="I20" s="1">
        <v>1000000</v>
      </c>
      <c r="J20" s="1">
        <v>1000000</v>
      </c>
      <c r="K20" s="1">
        <v>1000000</v>
      </c>
      <c r="L20" s="1">
        <v>1000000</v>
      </c>
      <c r="M20" s="1">
        <v>1000000</v>
      </c>
    </row>
    <row r="21" spans="1:17" ht="18.75" x14ac:dyDescent="0.25">
      <c r="A21" s="5" t="s">
        <v>19</v>
      </c>
      <c r="B21" s="1">
        <v>100000</v>
      </c>
      <c r="C21" s="1">
        <v>100000</v>
      </c>
      <c r="D21" s="1">
        <v>125000</v>
      </c>
      <c r="E21" s="1">
        <v>550000</v>
      </c>
      <c r="F21" s="1">
        <v>2500000</v>
      </c>
      <c r="G21" s="1">
        <v>550000</v>
      </c>
      <c r="H21" s="1">
        <v>550000</v>
      </c>
      <c r="I21" s="1">
        <v>550000</v>
      </c>
      <c r="J21" s="1">
        <v>550000</v>
      </c>
      <c r="K21" s="1">
        <v>550000</v>
      </c>
      <c r="L21" s="1">
        <v>550000</v>
      </c>
      <c r="M21" s="1">
        <v>550000</v>
      </c>
      <c r="O21" t="s">
        <v>51</v>
      </c>
      <c r="Q21" t="s">
        <v>52</v>
      </c>
    </row>
    <row r="22" spans="1:17" ht="18.75" x14ac:dyDescent="0.25">
      <c r="A22" s="5" t="s">
        <v>20</v>
      </c>
      <c r="B22" s="1">
        <v>50000</v>
      </c>
      <c r="C22" s="1">
        <v>50000</v>
      </c>
      <c r="D22" s="1">
        <v>300000</v>
      </c>
      <c r="E22" s="1">
        <v>300000</v>
      </c>
      <c r="F22" s="1">
        <v>300000</v>
      </c>
      <c r="G22" s="1">
        <v>300000</v>
      </c>
      <c r="H22" s="1">
        <v>300000</v>
      </c>
      <c r="I22" s="1">
        <v>300000</v>
      </c>
      <c r="J22" s="1">
        <v>300000</v>
      </c>
      <c r="K22" s="1">
        <v>300000</v>
      </c>
      <c r="L22" s="1">
        <v>300000</v>
      </c>
      <c r="M22" s="1">
        <v>300000</v>
      </c>
    </row>
    <row r="23" spans="1:17" ht="18.75" x14ac:dyDescent="0.25">
      <c r="A23" s="5" t="s">
        <v>21</v>
      </c>
      <c r="B23" s="1">
        <v>0</v>
      </c>
      <c r="C23" s="1">
        <v>250000</v>
      </c>
      <c r="D23" s="1">
        <v>250000</v>
      </c>
      <c r="E23" s="1">
        <v>250000</v>
      </c>
      <c r="F23" s="1">
        <v>250000</v>
      </c>
      <c r="G23" s="1">
        <v>250000</v>
      </c>
      <c r="H23" s="1">
        <v>250000</v>
      </c>
      <c r="I23" s="1">
        <v>250000</v>
      </c>
      <c r="J23" s="1">
        <v>250000</v>
      </c>
      <c r="K23" s="1">
        <v>250000</v>
      </c>
      <c r="L23" s="1">
        <v>250000</v>
      </c>
      <c r="M23" s="1">
        <v>250000</v>
      </c>
      <c r="O23" t="s">
        <v>53</v>
      </c>
    </row>
    <row r="24" spans="1:17" ht="18.75" x14ac:dyDescent="0.25">
      <c r="A24" s="5" t="s">
        <v>22</v>
      </c>
      <c r="B24" s="1">
        <v>0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</row>
    <row r="25" spans="1:17" ht="18.75" x14ac:dyDescent="0.25">
      <c r="A25" s="6" t="s">
        <v>39</v>
      </c>
      <c r="B25" s="8">
        <f>+B20+B21+B22+B23+B24</f>
        <v>230000</v>
      </c>
      <c r="C25" s="8">
        <f t="shared" ref="C25:M25" si="3">+C20+C21+C22+C23+C24</f>
        <v>480000</v>
      </c>
      <c r="D25" s="8">
        <f t="shared" si="3"/>
        <v>925000</v>
      </c>
      <c r="E25" s="8">
        <f t="shared" si="3"/>
        <v>2100000</v>
      </c>
      <c r="F25" s="8">
        <f t="shared" si="3"/>
        <v>4050000</v>
      </c>
      <c r="G25" s="8">
        <f t="shared" si="3"/>
        <v>2100000</v>
      </c>
      <c r="H25" s="8">
        <f t="shared" si="3"/>
        <v>2100000</v>
      </c>
      <c r="I25" s="8">
        <f t="shared" si="3"/>
        <v>2100000</v>
      </c>
      <c r="J25" s="8">
        <f t="shared" si="3"/>
        <v>2100000</v>
      </c>
      <c r="K25" s="8">
        <f t="shared" si="3"/>
        <v>2100000</v>
      </c>
      <c r="L25" s="8">
        <f t="shared" si="3"/>
        <v>2100000</v>
      </c>
      <c r="M25" s="8">
        <f t="shared" si="3"/>
        <v>2100000</v>
      </c>
    </row>
    <row r="26" spans="1:17" ht="18.75" x14ac:dyDescent="0.25">
      <c r="A26" s="5" t="s">
        <v>49</v>
      </c>
      <c r="B26" s="13">
        <f t="shared" ref="B26:M26" si="4">B5*6%</f>
        <v>4800000</v>
      </c>
      <c r="C26" s="13">
        <f t="shared" si="4"/>
        <v>4800000</v>
      </c>
      <c r="D26" s="13">
        <f t="shared" si="4"/>
        <v>5700000</v>
      </c>
      <c r="E26" s="13">
        <f t="shared" si="4"/>
        <v>8400000</v>
      </c>
      <c r="F26" s="13">
        <f t="shared" si="4"/>
        <v>8700000</v>
      </c>
      <c r="G26" s="13">
        <f t="shared" si="4"/>
        <v>9000000</v>
      </c>
      <c r="H26" s="13">
        <f t="shared" si="4"/>
        <v>9600000</v>
      </c>
      <c r="I26" s="13">
        <f t="shared" si="4"/>
        <v>9600000</v>
      </c>
      <c r="J26" s="13">
        <f t="shared" si="4"/>
        <v>10200000</v>
      </c>
      <c r="K26" s="13">
        <f t="shared" si="4"/>
        <v>10200000</v>
      </c>
      <c r="L26" s="13">
        <f t="shared" si="4"/>
        <v>10800000</v>
      </c>
      <c r="M26" s="13">
        <f t="shared" si="4"/>
        <v>10800000</v>
      </c>
    </row>
    <row r="27" spans="1:17" ht="18.75" x14ac:dyDescent="0.25">
      <c r="A27" s="5" t="s">
        <v>45</v>
      </c>
      <c r="B27" s="1">
        <f>B34*3.4%</f>
        <v>1326000</v>
      </c>
      <c r="C27" s="1">
        <f t="shared" ref="C27:M27" si="5">C34*3.4%</f>
        <v>1326000</v>
      </c>
      <c r="D27" s="1">
        <f t="shared" si="5"/>
        <v>1632000.0000000002</v>
      </c>
      <c r="E27" s="1">
        <f t="shared" si="5"/>
        <v>2210000</v>
      </c>
      <c r="F27" s="1">
        <f t="shared" si="5"/>
        <v>2295000</v>
      </c>
      <c r="G27" s="1">
        <f t="shared" si="5"/>
        <v>2380000</v>
      </c>
      <c r="H27" s="1">
        <f t="shared" si="5"/>
        <v>2550000</v>
      </c>
      <c r="I27" s="1">
        <f t="shared" si="5"/>
        <v>2550000</v>
      </c>
      <c r="J27" s="1">
        <f t="shared" si="5"/>
        <v>2720000</v>
      </c>
      <c r="K27" s="1">
        <f t="shared" si="5"/>
        <v>2720000</v>
      </c>
      <c r="L27" s="1">
        <f t="shared" si="5"/>
        <v>2890000</v>
      </c>
      <c r="M27" s="1">
        <f t="shared" si="5"/>
        <v>2890000</v>
      </c>
    </row>
    <row r="28" spans="1:17" ht="18.75" x14ac:dyDescent="0.25">
      <c r="A28" s="5" t="s">
        <v>23</v>
      </c>
      <c r="B28" s="1"/>
      <c r="C28" s="1">
        <v>0</v>
      </c>
      <c r="D28" s="1"/>
      <c r="E28" s="1"/>
      <c r="F28" s="1">
        <v>6000000</v>
      </c>
      <c r="G28" s="1">
        <v>1000000</v>
      </c>
      <c r="H28" s="1">
        <v>1000000</v>
      </c>
      <c r="I28" s="1">
        <v>1000000</v>
      </c>
      <c r="J28" s="1">
        <v>1000000</v>
      </c>
      <c r="K28" s="1">
        <v>1000000</v>
      </c>
      <c r="L28" s="1">
        <v>1000000</v>
      </c>
      <c r="M28" s="1"/>
      <c r="O28" t="s">
        <v>50</v>
      </c>
    </row>
    <row r="29" spans="1:17" ht="18.75" x14ac:dyDescent="0.3">
      <c r="A29" s="7" t="s">
        <v>40</v>
      </c>
      <c r="B29" s="8">
        <f>+B26+B27+B28</f>
        <v>6126000</v>
      </c>
      <c r="C29" s="8">
        <f t="shared" ref="C29:M29" si="6">+C26+C27+C28</f>
        <v>6126000</v>
      </c>
      <c r="D29" s="8">
        <f t="shared" si="6"/>
        <v>7332000</v>
      </c>
      <c r="E29" s="8">
        <f t="shared" si="6"/>
        <v>10610000</v>
      </c>
      <c r="F29" s="8">
        <f t="shared" si="6"/>
        <v>16995000</v>
      </c>
      <c r="G29" s="8">
        <f t="shared" si="6"/>
        <v>12380000</v>
      </c>
      <c r="H29" s="8">
        <f t="shared" si="6"/>
        <v>13150000</v>
      </c>
      <c r="I29" s="8">
        <f t="shared" si="6"/>
        <v>13150000</v>
      </c>
      <c r="J29" s="8">
        <f t="shared" si="6"/>
        <v>13920000</v>
      </c>
      <c r="K29" s="8">
        <f t="shared" si="6"/>
        <v>13920000</v>
      </c>
      <c r="L29" s="8">
        <f t="shared" si="6"/>
        <v>14690000</v>
      </c>
      <c r="M29" s="8">
        <f t="shared" si="6"/>
        <v>13690000</v>
      </c>
    </row>
    <row r="30" spans="1:17" ht="18.75" x14ac:dyDescent="0.25">
      <c r="A30" s="5" t="s">
        <v>24</v>
      </c>
      <c r="B30" s="1">
        <v>0</v>
      </c>
      <c r="C30" s="1">
        <v>0</v>
      </c>
      <c r="D30" s="1">
        <v>0</v>
      </c>
      <c r="E30" s="1"/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</row>
    <row r="31" spans="1:17" ht="18.75" x14ac:dyDescent="0.25">
      <c r="A31" s="5" t="s">
        <v>25</v>
      </c>
      <c r="B31" s="1">
        <v>55000</v>
      </c>
      <c r="C31" s="1">
        <v>55000</v>
      </c>
      <c r="D31" s="1">
        <v>55000</v>
      </c>
      <c r="E31" s="1">
        <v>100000</v>
      </c>
      <c r="F31" s="1">
        <v>100000</v>
      </c>
      <c r="G31" s="1">
        <v>100000</v>
      </c>
      <c r="H31" s="1">
        <v>100000</v>
      </c>
      <c r="I31" s="1">
        <v>100000</v>
      </c>
      <c r="J31" s="1">
        <v>100000</v>
      </c>
      <c r="K31" s="1">
        <v>100000</v>
      </c>
      <c r="L31" s="1">
        <v>100000</v>
      </c>
      <c r="M31" s="1">
        <v>100000</v>
      </c>
    </row>
    <row r="32" spans="1:17" ht="18.75" x14ac:dyDescent="0.25">
      <c r="A32" s="5" t="s">
        <v>47</v>
      </c>
      <c r="B32" s="1"/>
      <c r="C32" s="1"/>
      <c r="D32" s="1">
        <v>600000</v>
      </c>
      <c r="E32" s="1"/>
      <c r="F32" s="1"/>
      <c r="G32" s="1">
        <v>600000</v>
      </c>
      <c r="H32" s="1"/>
      <c r="I32" s="1"/>
      <c r="J32" s="1">
        <v>600000</v>
      </c>
      <c r="K32" s="1"/>
      <c r="L32" s="1"/>
      <c r="M32" s="1">
        <v>600000</v>
      </c>
    </row>
    <row r="33" spans="1:14" ht="18.75" x14ac:dyDescent="0.25">
      <c r="A33" s="6" t="s">
        <v>41</v>
      </c>
      <c r="B33" s="8">
        <f>+B30+B31+B32</f>
        <v>55000</v>
      </c>
      <c r="C33" s="8">
        <f t="shared" ref="C33:M33" si="7">+C30+C31+C32</f>
        <v>55000</v>
      </c>
      <c r="D33" s="8">
        <f t="shared" si="7"/>
        <v>655000</v>
      </c>
      <c r="E33" s="8">
        <f t="shared" si="7"/>
        <v>100000</v>
      </c>
      <c r="F33" s="8">
        <f t="shared" si="7"/>
        <v>100000</v>
      </c>
      <c r="G33" s="8">
        <f t="shared" si="7"/>
        <v>700000</v>
      </c>
      <c r="H33" s="8">
        <f t="shared" si="7"/>
        <v>100000</v>
      </c>
      <c r="I33" s="8">
        <f t="shared" si="7"/>
        <v>100000</v>
      </c>
      <c r="J33" s="8">
        <f t="shared" si="7"/>
        <v>700000</v>
      </c>
      <c r="K33" s="8">
        <f t="shared" si="7"/>
        <v>100000</v>
      </c>
      <c r="L33" s="8">
        <f t="shared" si="7"/>
        <v>100000</v>
      </c>
      <c r="M33" s="8">
        <f t="shared" si="7"/>
        <v>700000</v>
      </c>
    </row>
    <row r="34" spans="1:14" ht="18.75" x14ac:dyDescent="0.25">
      <c r="A34" s="5" t="s">
        <v>26</v>
      </c>
      <c r="B34" s="1">
        <v>39000000</v>
      </c>
      <c r="C34" s="1">
        <v>39000000</v>
      </c>
      <c r="D34" s="1">
        <v>48000000</v>
      </c>
      <c r="E34" s="1">
        <v>65000000</v>
      </c>
      <c r="F34" s="1">
        <v>67500000</v>
      </c>
      <c r="G34" s="1">
        <v>70000000</v>
      </c>
      <c r="H34" s="1">
        <v>75000000</v>
      </c>
      <c r="I34" s="1">
        <v>75000000</v>
      </c>
      <c r="J34" s="1">
        <v>80000000</v>
      </c>
      <c r="K34" s="1">
        <v>80000000</v>
      </c>
      <c r="L34" s="1">
        <v>85000000</v>
      </c>
      <c r="M34" s="1">
        <v>85000000</v>
      </c>
    </row>
    <row r="35" spans="1:14" ht="18.75" x14ac:dyDescent="0.25">
      <c r="A35" s="5" t="s">
        <v>27</v>
      </c>
      <c r="B35" s="1">
        <v>2000000</v>
      </c>
      <c r="C35" s="1">
        <v>2000000</v>
      </c>
      <c r="D35" s="1">
        <v>2000000</v>
      </c>
      <c r="E35" s="1">
        <v>2000000</v>
      </c>
      <c r="F35" s="1">
        <v>2000000</v>
      </c>
      <c r="G35" s="1">
        <v>2000000</v>
      </c>
      <c r="H35" s="1">
        <v>2000000</v>
      </c>
      <c r="I35" s="1">
        <v>2000000</v>
      </c>
      <c r="J35" s="1">
        <v>2000000</v>
      </c>
      <c r="K35" s="1">
        <v>2000000</v>
      </c>
      <c r="L35" s="1">
        <v>2000000</v>
      </c>
      <c r="M35" s="1">
        <v>2000000</v>
      </c>
    </row>
    <row r="36" spans="1:14" ht="18.75" x14ac:dyDescent="0.25">
      <c r="A36" s="5" t="s">
        <v>28</v>
      </c>
      <c r="B36" s="1">
        <f>B34*0.16</f>
        <v>6240000</v>
      </c>
      <c r="C36" s="1">
        <f t="shared" ref="C36:M36" si="8">C34*0.16</f>
        <v>6240000</v>
      </c>
      <c r="D36" s="1">
        <f t="shared" si="8"/>
        <v>7680000</v>
      </c>
      <c r="E36" s="1">
        <f t="shared" si="8"/>
        <v>10400000</v>
      </c>
      <c r="F36" s="1">
        <f t="shared" si="8"/>
        <v>10800000</v>
      </c>
      <c r="G36" s="1">
        <f t="shared" si="8"/>
        <v>11200000</v>
      </c>
      <c r="H36" s="1">
        <f t="shared" si="8"/>
        <v>12000000</v>
      </c>
      <c r="I36" s="1">
        <f t="shared" si="8"/>
        <v>12000000</v>
      </c>
      <c r="J36" s="1">
        <f t="shared" si="8"/>
        <v>12800000</v>
      </c>
      <c r="K36" s="1">
        <f t="shared" si="8"/>
        <v>12800000</v>
      </c>
      <c r="L36" s="1">
        <f t="shared" si="8"/>
        <v>13600000</v>
      </c>
      <c r="M36" s="1">
        <f t="shared" si="8"/>
        <v>13600000</v>
      </c>
    </row>
    <row r="37" spans="1:14" ht="18.75" x14ac:dyDescent="0.25">
      <c r="A37" s="5" t="s">
        <v>29</v>
      </c>
      <c r="B37" s="1">
        <f>B34*0.005</f>
        <v>195000</v>
      </c>
      <c r="C37" s="1">
        <f t="shared" ref="C37:M37" si="9">C34*0.005</f>
        <v>195000</v>
      </c>
      <c r="D37" s="1">
        <f t="shared" si="9"/>
        <v>240000</v>
      </c>
      <c r="E37" s="1">
        <f>E34*0.005</f>
        <v>325000</v>
      </c>
      <c r="F37" s="1">
        <f t="shared" si="9"/>
        <v>337500</v>
      </c>
      <c r="G37" s="1">
        <f t="shared" si="9"/>
        <v>350000</v>
      </c>
      <c r="H37" s="1">
        <f t="shared" si="9"/>
        <v>375000</v>
      </c>
      <c r="I37" s="1">
        <f t="shared" si="9"/>
        <v>375000</v>
      </c>
      <c r="J37" s="1">
        <f t="shared" si="9"/>
        <v>400000</v>
      </c>
      <c r="K37" s="1">
        <f t="shared" si="9"/>
        <v>400000</v>
      </c>
      <c r="L37" s="1">
        <f t="shared" si="9"/>
        <v>425000</v>
      </c>
      <c r="M37" s="1">
        <f t="shared" si="9"/>
        <v>425000</v>
      </c>
    </row>
    <row r="38" spans="1:14" ht="18.75" x14ac:dyDescent="0.25">
      <c r="A38" s="6" t="s">
        <v>42</v>
      </c>
      <c r="B38" s="8">
        <f>+B34+B35+B36+B37</f>
        <v>47435000</v>
      </c>
      <c r="C38" s="8">
        <f t="shared" ref="C38:M38" si="10">+C34+C35+C36+C37</f>
        <v>47435000</v>
      </c>
      <c r="D38" s="8">
        <f t="shared" si="10"/>
        <v>57920000</v>
      </c>
      <c r="E38" s="8">
        <f t="shared" si="10"/>
        <v>77725000</v>
      </c>
      <c r="F38" s="8">
        <f t="shared" si="10"/>
        <v>80637500</v>
      </c>
      <c r="G38" s="8">
        <f t="shared" si="10"/>
        <v>83550000</v>
      </c>
      <c r="H38" s="8">
        <f t="shared" si="10"/>
        <v>89375000</v>
      </c>
      <c r="I38" s="8">
        <f t="shared" si="10"/>
        <v>89375000</v>
      </c>
      <c r="J38" s="8">
        <f t="shared" si="10"/>
        <v>95200000</v>
      </c>
      <c r="K38" s="8">
        <f t="shared" si="10"/>
        <v>95200000</v>
      </c>
      <c r="L38" s="8">
        <f t="shared" si="10"/>
        <v>101025000</v>
      </c>
      <c r="M38" s="8">
        <f t="shared" si="10"/>
        <v>101025000</v>
      </c>
    </row>
    <row r="39" spans="1:14" ht="18.75" x14ac:dyDescent="0.25">
      <c r="A39" s="4" t="s">
        <v>43</v>
      </c>
      <c r="B39" s="9">
        <f t="shared" ref="B39:M39" si="11">+B12+B19+B25+B29+B33+B38</f>
        <v>56446200</v>
      </c>
      <c r="C39" s="9">
        <f t="shared" si="11"/>
        <v>56999000</v>
      </c>
      <c r="D39" s="9">
        <f t="shared" si="11"/>
        <v>69285000</v>
      </c>
      <c r="E39" s="9">
        <f t="shared" si="11"/>
        <v>95158000</v>
      </c>
      <c r="F39" s="9">
        <f t="shared" si="11"/>
        <v>105855500</v>
      </c>
      <c r="G39" s="9">
        <f t="shared" si="11"/>
        <v>104050000</v>
      </c>
      <c r="H39" s="9">
        <f t="shared" si="11"/>
        <v>109645000</v>
      </c>
      <c r="I39" s="9">
        <f t="shared" si="11"/>
        <v>109445000</v>
      </c>
      <c r="J39" s="9">
        <f t="shared" si="11"/>
        <v>116540000</v>
      </c>
      <c r="K39" s="9">
        <f t="shared" si="11"/>
        <v>116140000</v>
      </c>
      <c r="L39" s="9">
        <f t="shared" si="11"/>
        <v>122535000</v>
      </c>
      <c r="M39" s="9">
        <f t="shared" si="11"/>
        <v>122335000</v>
      </c>
    </row>
    <row r="40" spans="1:14" ht="18.75" x14ac:dyDescent="0.3">
      <c r="A40" s="10" t="s">
        <v>44</v>
      </c>
      <c r="B40" s="11">
        <f t="shared" ref="B40:M40" si="12">+B6-B39</f>
        <v>23553800</v>
      </c>
      <c r="C40" s="11">
        <f t="shared" si="12"/>
        <v>23001000</v>
      </c>
      <c r="D40" s="11">
        <f t="shared" si="12"/>
        <v>25715000</v>
      </c>
      <c r="E40" s="11">
        <f t="shared" si="12"/>
        <v>44842000</v>
      </c>
      <c r="F40" s="11">
        <f t="shared" si="12"/>
        <v>39144500</v>
      </c>
      <c r="G40" s="11">
        <f t="shared" si="12"/>
        <v>45950000</v>
      </c>
      <c r="H40" s="11">
        <f t="shared" si="12"/>
        <v>50355000</v>
      </c>
      <c r="I40" s="11">
        <f t="shared" si="12"/>
        <v>50555000</v>
      </c>
      <c r="J40" s="11">
        <f t="shared" si="12"/>
        <v>53460000</v>
      </c>
      <c r="K40" s="11">
        <f t="shared" si="12"/>
        <v>53860000</v>
      </c>
      <c r="L40" s="11">
        <f t="shared" si="12"/>
        <v>57465000</v>
      </c>
      <c r="M40" s="11">
        <f t="shared" si="12"/>
        <v>57665000</v>
      </c>
      <c r="N40" s="2"/>
    </row>
  </sheetData>
  <mergeCells count="1">
    <mergeCell ref="A2:K2"/>
  </mergeCells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2026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Jean Noel</dc:creator>
  <cp:lastModifiedBy>Assistance Technique 225</cp:lastModifiedBy>
  <dcterms:created xsi:type="dcterms:W3CDTF">2024-11-11T15:38:16Z</dcterms:created>
  <dcterms:modified xsi:type="dcterms:W3CDTF">2026-05-05T14:32:26Z</dcterms:modified>
</cp:coreProperties>
</file>