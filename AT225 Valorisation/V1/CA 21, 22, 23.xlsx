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on Drive\Assistance Technique 225\Mon Dossier - EP\8. Pitch Vente AT225\"/>
    </mc:Choice>
  </mc:AlternateContent>
  <xr:revisionPtr revIDLastSave="0" documentId="8_{AFD37020-EDB6-4547-980F-587BFC776AE4}" xr6:coauthVersionLast="47" xr6:coauthVersionMax="47" xr10:uidLastSave="{00000000-0000-0000-0000-000000000000}"/>
  <bookViews>
    <workbookView xWindow="24585" yWindow="765" windowWidth="23880" windowHeight="20115" activeTab="2" xr2:uid="{07A99515-2D9D-49C7-B951-C1120282252E}"/>
  </bookViews>
  <sheets>
    <sheet name="CA 2021" sheetId="1" r:id="rId1"/>
    <sheet name="CA 2022" sheetId="2" r:id="rId2"/>
    <sheet name="CA 202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G140" i="3" s="1"/>
  <c r="F141" i="3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G164" i="3" s="1"/>
  <c r="F165" i="3"/>
  <c r="G165" i="3" s="1"/>
  <c r="F166" i="3"/>
  <c r="G166" i="3" s="1"/>
  <c r="F167" i="3"/>
  <c r="G167" i="3" s="1"/>
  <c r="F168" i="3"/>
  <c r="G168" i="3" s="1"/>
  <c r="F169" i="3"/>
  <c r="G169" i="3" s="1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G178" i="3" s="1"/>
  <c r="F179" i="3"/>
  <c r="G179" i="3" s="1"/>
  <c r="F180" i="3"/>
  <c r="G180" i="3" s="1"/>
  <c r="F181" i="3"/>
  <c r="G181" i="3" s="1"/>
  <c r="F182" i="3"/>
  <c r="G182" i="3" s="1"/>
  <c r="F183" i="3"/>
  <c r="G183" i="3" s="1"/>
  <c r="F7" i="3"/>
  <c r="G7" i="3" s="1"/>
  <c r="E184" i="3"/>
  <c r="F184" i="3" s="1"/>
  <c r="G184" i="3" s="1"/>
  <c r="E146" i="2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G109" i="2"/>
  <c r="F109" i="2"/>
  <c r="F108" i="2"/>
  <c r="G108" i="2" s="1"/>
  <c r="F107" i="2"/>
  <c r="G107" i="2" s="1"/>
  <c r="F106" i="2"/>
  <c r="G106" i="2" s="1"/>
  <c r="F105" i="2"/>
  <c r="G105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G97" i="2"/>
  <c r="F97" i="2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G89" i="2"/>
  <c r="F89" i="2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G77" i="2"/>
  <c r="F77" i="2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G65" i="2"/>
  <c r="F65" i="2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E84" i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F84" i="1" l="1"/>
  <c r="G84" i="1" s="1"/>
  <c r="F146" i="2"/>
  <c r="G146" i="2" s="1"/>
  <c r="G5" i="2"/>
  <c r="G7" i="1"/>
</calcChain>
</file>

<file path=xl/sharedStrings.xml><?xml version="1.0" encoding="utf-8"?>
<sst xmlns="http://schemas.openxmlformats.org/spreadsheetml/2006/main" count="423" uniqueCount="74">
  <si>
    <t>VENTES AT225 2021</t>
  </si>
  <si>
    <t>DATE</t>
  </si>
  <si>
    <t>N° DE FACTURE</t>
  </si>
  <si>
    <t>NOM DU CLIENT</t>
  </si>
  <si>
    <t xml:space="preserve"> MONTANT TTC</t>
  </si>
  <si>
    <t>MOTANT HT</t>
  </si>
  <si>
    <t>Taxe RME 6%</t>
  </si>
  <si>
    <t>NSE-CI</t>
  </si>
  <si>
    <t>VEOLIA WATER</t>
  </si>
  <si>
    <t>VINCI ENERGIES CI</t>
  </si>
  <si>
    <t>AMG ABIDJAN SARL</t>
  </si>
  <si>
    <t>BOUYUGUES E&amp;S ci</t>
  </si>
  <si>
    <t>NMSI</t>
  </si>
  <si>
    <t>SEURECA</t>
  </si>
  <si>
    <t>31/10/22021</t>
  </si>
  <si>
    <t>TOTAL</t>
  </si>
  <si>
    <t>CHIFFRES D'AFFAIRES 2022 AT225</t>
  </si>
  <si>
    <t>DATES</t>
  </si>
  <si>
    <t>MONTANT TTC</t>
  </si>
  <si>
    <t>MONTANT HT</t>
  </si>
  <si>
    <t>IM 6%</t>
  </si>
  <si>
    <t>VEOLIA WATER STI</t>
  </si>
  <si>
    <t xml:space="preserve">CHEC BEIJING </t>
  </si>
  <si>
    <t>BOUYGUES E&amp;S COTE D'IVOIRE</t>
  </si>
  <si>
    <t>NMSI CI</t>
  </si>
  <si>
    <t>KUYO PIPELINE</t>
  </si>
  <si>
    <t>SEURECA CI</t>
  </si>
  <si>
    <t>FORTIL I,S LIMITED</t>
  </si>
  <si>
    <t>31/032/2022</t>
  </si>
  <si>
    <t>31/03/20222</t>
  </si>
  <si>
    <t>SICMA</t>
  </si>
  <si>
    <t>HENRI MICHEL LABORDA</t>
  </si>
  <si>
    <t>31/04/2022</t>
  </si>
  <si>
    <t>TIPICI</t>
  </si>
  <si>
    <t>DMD SARL</t>
  </si>
  <si>
    <t>FREDERIC VENE</t>
  </si>
  <si>
    <t>MEG BROS</t>
  </si>
  <si>
    <t>SIEE</t>
  </si>
  <si>
    <t>VINCI ENERGIES COTE D'IVOIRE</t>
  </si>
  <si>
    <t>GRS VALTECH</t>
  </si>
  <si>
    <t>YACOUBA BANCE</t>
  </si>
  <si>
    <t>GERADINE SERRAT</t>
  </si>
  <si>
    <t>CHIFFRES D'AFFAIRES 2023</t>
  </si>
  <si>
    <t>SCMA</t>
  </si>
  <si>
    <t>VEOLIA WATERR STI</t>
  </si>
  <si>
    <t>MEG BROSS</t>
  </si>
  <si>
    <t>GERALDINE SERRAT</t>
  </si>
  <si>
    <t>FORTIL IS LIMITED</t>
  </si>
  <si>
    <t>INTERBAT</t>
  </si>
  <si>
    <t>EIFFAGE ENERGIE SYSTEMES</t>
  </si>
  <si>
    <t>MATIERE IVOIRE</t>
  </si>
  <si>
    <t>ARTUR AUJAMES</t>
  </si>
  <si>
    <t>FORTIL I,S</t>
  </si>
  <si>
    <t>TIPICI SARL</t>
  </si>
  <si>
    <t>INTERBAT CI</t>
  </si>
  <si>
    <t>ARTHUR AUJAMES</t>
  </si>
  <si>
    <t>SMSI</t>
  </si>
  <si>
    <t>FORTIL I,S Limited</t>
  </si>
  <si>
    <t>FORTIL</t>
  </si>
  <si>
    <t>GENALDINE SERRAT</t>
  </si>
  <si>
    <t>LES CENTAURES ROUTIERS</t>
  </si>
  <si>
    <t>VINCI ENERGIE</t>
  </si>
  <si>
    <t>ATR MANUTENTION LEVAGE TRANSPORT</t>
  </si>
  <si>
    <t>KUYO PIPELINE SARL</t>
  </si>
  <si>
    <t>BATIPRO BETON</t>
  </si>
  <si>
    <t>FORTI IS LIMITED</t>
  </si>
  <si>
    <t>INEXENCE REALISATION AFRIQUE</t>
  </si>
  <si>
    <t>CHEC BEIJING</t>
  </si>
  <si>
    <t>BESAC AFRIQUE</t>
  </si>
  <si>
    <t>P§ N COTE D'IVOIRE</t>
  </si>
  <si>
    <t>SOCTRA</t>
  </si>
  <si>
    <t>BESSAC AFRIQUE</t>
  </si>
  <si>
    <t>MONTANTS TTC</t>
  </si>
  <si>
    <t>IME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</si>
</sst>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_-* #,##0.00\ _C_F_A_-;\-* #,##0.00\ _C_F_A_-;_-* &quot;-&quot;??\ _C_F_A_-;_-@_-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2" fillId="0" borderId="1" xfId="0" applyFont="1" applyBorder="1"/>
    <xf numFmtId="41" fontId="2" fillId="0" borderId="1" xfId="2" applyFont="1" applyBorder="1"/>
    <xf numFmtId="41" fontId="0" fillId="0" borderId="0" xfId="0" applyNumberFormat="1"/>
    <xf numFmtId="14" fontId="0" fillId="0" borderId="1" xfId="0" applyNumberFormat="1" applyBorder="1"/>
    <xf numFmtId="41" fontId="0" fillId="0" borderId="1" xfId="2" applyFont="1" applyBorder="1" applyAlignment="1">
      <alignment vertical="center"/>
    </xf>
    <xf numFmtId="0" fontId="0" fillId="0" borderId="1" xfId="0" applyBorder="1"/>
    <xf numFmtId="41" fontId="0" fillId="0" borderId="1" xfId="2" applyFont="1" applyBorder="1"/>
    <xf numFmtId="43" fontId="0" fillId="0" borderId="1" xfId="1" applyFont="1" applyBorder="1"/>
    <xf numFmtId="0" fontId="0" fillId="0" borderId="2" xfId="0" applyBorder="1"/>
    <xf numFmtId="14" fontId="0" fillId="0" borderId="3" xfId="0" applyNumberFormat="1" applyBorder="1"/>
    <xf numFmtId="41" fontId="0" fillId="0" borderId="3" xfId="2" applyFont="1" applyBorder="1" applyAlignment="1">
      <alignment vertical="center"/>
    </xf>
    <xf numFmtId="0" fontId="0" fillId="0" borderId="3" xfId="0" applyBorder="1"/>
    <xf numFmtId="41" fontId="0" fillId="0" borderId="3" xfId="2" applyFont="1" applyBorder="1"/>
    <xf numFmtId="41" fontId="2" fillId="2" borderId="1" xfId="0" applyNumberFormat="1" applyFont="1" applyFill="1" applyBorder="1"/>
    <xf numFmtId="41" fontId="2" fillId="0" borderId="1" xfId="0" applyNumberFormat="1" applyFont="1" applyBorder="1"/>
    <xf numFmtId="43" fontId="2" fillId="0" borderId="1" xfId="1" applyFont="1" applyBorder="1"/>
    <xf numFmtId="164" fontId="0" fillId="0" borderId="1" xfId="2" applyNumberFormat="1" applyFont="1" applyBorder="1"/>
    <xf numFmtId="165" fontId="0" fillId="0" borderId="0" xfId="0" applyNumberFormat="1"/>
    <xf numFmtId="41" fontId="0" fillId="0" borderId="2" xfId="2" applyFont="1" applyFill="1" applyBorder="1"/>
    <xf numFmtId="41" fontId="0" fillId="0" borderId="1" xfId="2" applyFont="1" applyFill="1" applyBorder="1"/>
    <xf numFmtId="0" fontId="3" fillId="0" borderId="0" xfId="0" applyFont="1" applyAlignment="1">
      <alignment horizontal="center"/>
    </xf>
    <xf numFmtId="14" fontId="0" fillId="0" borderId="1" xfId="0" applyNumberFormat="1" applyBorder="1" applyAlignment="1">
      <alignment horizontal="left"/>
    </xf>
    <xf numFmtId="166" fontId="0" fillId="0" borderId="1" xfId="1" applyNumberFormat="1" applyFont="1" applyBorder="1"/>
    <xf numFmtId="166" fontId="0" fillId="0" borderId="1" xfId="1" applyNumberFormat="1" applyFont="1" applyBorder="1" applyAlignment="1">
      <alignment horizontal="center" vertical="center"/>
    </xf>
    <xf numFmtId="41" fontId="0" fillId="0" borderId="5" xfId="2" applyFont="1" applyBorder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top"/>
    </xf>
    <xf numFmtId="166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41" fontId="0" fillId="0" borderId="0" xfId="2" applyFont="1"/>
    <xf numFmtId="41" fontId="2" fillId="2" borderId="1" xfId="2" applyFont="1" applyFill="1" applyBorder="1"/>
    <xf numFmtId="164" fontId="2" fillId="0" borderId="1" xfId="2" applyNumberFormat="1" applyFont="1" applyFill="1" applyBorder="1"/>
    <xf numFmtId="0" fontId="0" fillId="0" borderId="0" xfId="0" applyAlignment="1">
      <alignment horizontal="center"/>
    </xf>
    <xf numFmtId="166" fontId="0" fillId="0" borderId="0" xfId="1" applyNumberFormat="1" applyFont="1" applyBorder="1" applyAlignment="1">
      <alignment horizontal="center" vertical="center"/>
    </xf>
    <xf numFmtId="166" fontId="0" fillId="0" borderId="6" xfId="1" applyNumberFormat="1" applyFont="1" applyBorder="1" applyAlignment="1">
      <alignment horizontal="center" vertical="center"/>
    </xf>
    <xf numFmtId="0" fontId="0" fillId="0" borderId="5" xfId="0" applyBorder="1"/>
    <xf numFmtId="166" fontId="0" fillId="0" borderId="5" xfId="1" applyNumberFormat="1" applyFont="1" applyBorder="1" applyAlignment="1">
      <alignment horizontal="left" vertical="top"/>
    </xf>
    <xf numFmtId="164" fontId="2" fillId="0" borderId="1" xfId="2" applyNumberFormat="1" applyFont="1" applyBorder="1"/>
    <xf numFmtId="0" fontId="4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2106-7C87-45BC-9CF0-259A7B4C3575}">
  <dimension ref="B4:I87"/>
  <sheetViews>
    <sheetView topLeftCell="A50" workbookViewId="0">
      <selection activeCell="E84" sqref="E84"/>
    </sheetView>
  </sheetViews>
  <sheetFormatPr baseColWidth="10" defaultRowHeight="15" x14ac:dyDescent="0.25"/>
  <cols>
    <col min="3" max="3" width="14.140625" customWidth="1"/>
    <col min="4" max="4" width="23.5703125" customWidth="1"/>
    <col min="5" max="5" width="19.5703125" customWidth="1"/>
    <col min="6" max="6" width="17.5703125" customWidth="1"/>
    <col min="7" max="7" width="14" customWidth="1"/>
  </cols>
  <sheetData>
    <row r="4" spans="2:9" ht="18.75" x14ac:dyDescent="0.3">
      <c r="D4" s="1" t="s">
        <v>0</v>
      </c>
    </row>
    <row r="6" spans="2:9" x14ac:dyDescent="0.25">
      <c r="B6" s="2" t="s">
        <v>1</v>
      </c>
      <c r="C6" s="2" t="s">
        <v>2</v>
      </c>
      <c r="D6" s="2" t="s">
        <v>3</v>
      </c>
      <c r="E6" s="3" t="s">
        <v>4</v>
      </c>
      <c r="F6" s="3" t="s">
        <v>5</v>
      </c>
      <c r="G6" s="2" t="s">
        <v>6</v>
      </c>
      <c r="I6" s="4"/>
    </row>
    <row r="7" spans="2:9" x14ac:dyDescent="0.25">
      <c r="B7" s="5">
        <v>44229</v>
      </c>
      <c r="C7" s="6">
        <v>53</v>
      </c>
      <c r="D7" s="7" t="s">
        <v>7</v>
      </c>
      <c r="E7" s="8">
        <v>2624000</v>
      </c>
      <c r="F7" s="8">
        <f>+E7/1.06</f>
        <v>2475471.6981132072</v>
      </c>
      <c r="G7" s="9">
        <f>+F7*0.06</f>
        <v>148528.30188679244</v>
      </c>
    </row>
    <row r="8" spans="2:9" x14ac:dyDescent="0.25">
      <c r="B8" s="5">
        <v>44255</v>
      </c>
      <c r="C8" s="6">
        <v>57</v>
      </c>
      <c r="D8" s="7" t="s">
        <v>8</v>
      </c>
      <c r="E8" s="8">
        <v>3298312</v>
      </c>
      <c r="F8" s="8">
        <f t="shared" ref="F8:F71" si="0">+E8/1.06</f>
        <v>3111615.0943396227</v>
      </c>
      <c r="G8" s="9">
        <f t="shared" ref="G8:G71" si="1">+F8*0.06</f>
        <v>186696.90566037735</v>
      </c>
    </row>
    <row r="9" spans="2:9" x14ac:dyDescent="0.25">
      <c r="B9" s="5">
        <v>44255</v>
      </c>
      <c r="C9" s="6">
        <v>54</v>
      </c>
      <c r="D9" s="7" t="s">
        <v>8</v>
      </c>
      <c r="E9" s="8">
        <v>4049892</v>
      </c>
      <c r="F9" s="8">
        <f t="shared" si="0"/>
        <v>3820652.830188679</v>
      </c>
      <c r="G9" s="9">
        <f t="shared" si="1"/>
        <v>229239.16981132072</v>
      </c>
    </row>
    <row r="10" spans="2:9" x14ac:dyDescent="0.25">
      <c r="B10" s="5">
        <v>44255</v>
      </c>
      <c r="C10" s="6">
        <v>56</v>
      </c>
      <c r="D10" s="7" t="s">
        <v>8</v>
      </c>
      <c r="E10" s="8">
        <v>3002253</v>
      </c>
      <c r="F10" s="8">
        <f t="shared" si="0"/>
        <v>2832314.1509433961</v>
      </c>
      <c r="G10" s="9">
        <f t="shared" si="1"/>
        <v>169938.84905660377</v>
      </c>
    </row>
    <row r="11" spans="2:9" x14ac:dyDescent="0.25">
      <c r="B11" s="5">
        <v>44255</v>
      </c>
      <c r="C11" s="6">
        <v>55</v>
      </c>
      <c r="D11" s="7" t="s">
        <v>8</v>
      </c>
      <c r="E11" s="8">
        <v>3326444</v>
      </c>
      <c r="F11" s="8">
        <f t="shared" si="0"/>
        <v>3138154.716981132</v>
      </c>
      <c r="G11" s="9">
        <f t="shared" si="1"/>
        <v>188289.28301886792</v>
      </c>
    </row>
    <row r="12" spans="2:9" x14ac:dyDescent="0.25">
      <c r="B12" s="5">
        <v>44255</v>
      </c>
      <c r="C12" s="6">
        <v>58</v>
      </c>
      <c r="D12" s="7" t="s">
        <v>8</v>
      </c>
      <c r="E12" s="8">
        <v>3921376</v>
      </c>
      <c r="F12" s="8">
        <f t="shared" si="0"/>
        <v>3699411.3207547166</v>
      </c>
      <c r="G12" s="9">
        <f t="shared" si="1"/>
        <v>221964.67924528298</v>
      </c>
    </row>
    <row r="13" spans="2:9" x14ac:dyDescent="0.25">
      <c r="B13" s="5">
        <v>44286</v>
      </c>
      <c r="C13" s="6">
        <v>64</v>
      </c>
      <c r="D13" s="7" t="s">
        <v>9</v>
      </c>
      <c r="E13" s="8">
        <v>3296089</v>
      </c>
      <c r="F13" s="8">
        <f t="shared" si="0"/>
        <v>3109517.9245283017</v>
      </c>
      <c r="G13" s="9">
        <f t="shared" si="1"/>
        <v>186571.0754716981</v>
      </c>
    </row>
    <row r="14" spans="2:9" x14ac:dyDescent="0.25">
      <c r="B14" s="5">
        <v>44286</v>
      </c>
      <c r="C14" s="6">
        <v>59</v>
      </c>
      <c r="D14" s="10" t="s">
        <v>8</v>
      </c>
      <c r="E14" s="8">
        <v>4303590</v>
      </c>
      <c r="F14" s="8">
        <f t="shared" si="0"/>
        <v>4059990.5660377354</v>
      </c>
      <c r="G14" s="9">
        <f t="shared" si="1"/>
        <v>243599.43396226413</v>
      </c>
    </row>
    <row r="15" spans="2:9" x14ac:dyDescent="0.25">
      <c r="B15" s="5">
        <v>44286</v>
      </c>
      <c r="C15" s="6">
        <v>60</v>
      </c>
      <c r="D15" s="7" t="s">
        <v>8</v>
      </c>
      <c r="E15" s="8">
        <v>3825410</v>
      </c>
      <c r="F15" s="8">
        <f t="shared" si="0"/>
        <v>3608877.3584905658</v>
      </c>
      <c r="G15" s="9">
        <f t="shared" si="1"/>
        <v>216532.64150943395</v>
      </c>
    </row>
    <row r="16" spans="2:9" x14ac:dyDescent="0.25">
      <c r="B16" s="5">
        <v>44286</v>
      </c>
      <c r="C16" s="6">
        <v>61</v>
      </c>
      <c r="D16" s="7" t="s">
        <v>8</v>
      </c>
      <c r="E16" s="8">
        <v>3464138</v>
      </c>
      <c r="F16" s="8">
        <f t="shared" si="0"/>
        <v>3268054.716981132</v>
      </c>
      <c r="G16" s="9">
        <f t="shared" si="1"/>
        <v>196083.28301886792</v>
      </c>
    </row>
    <row r="17" spans="2:7" x14ac:dyDescent="0.25">
      <c r="B17" s="5">
        <v>44286</v>
      </c>
      <c r="C17" s="6">
        <v>62</v>
      </c>
      <c r="D17" s="7" t="s">
        <v>8</v>
      </c>
      <c r="E17" s="8">
        <v>3309735</v>
      </c>
      <c r="F17" s="8">
        <f t="shared" si="0"/>
        <v>3122391.5094339619</v>
      </c>
      <c r="G17" s="9">
        <f t="shared" si="1"/>
        <v>187343.49056603771</v>
      </c>
    </row>
    <row r="18" spans="2:7" x14ac:dyDescent="0.25">
      <c r="B18" s="5">
        <v>44286</v>
      </c>
      <c r="C18" s="6">
        <v>63</v>
      </c>
      <c r="D18" s="7" t="s">
        <v>8</v>
      </c>
      <c r="E18" s="8">
        <v>4721298</v>
      </c>
      <c r="F18" s="8">
        <f t="shared" si="0"/>
        <v>4454054.7169811316</v>
      </c>
      <c r="G18" s="9">
        <f t="shared" si="1"/>
        <v>267243.28301886789</v>
      </c>
    </row>
    <row r="19" spans="2:7" x14ac:dyDescent="0.25">
      <c r="B19" s="5">
        <v>44316</v>
      </c>
      <c r="C19" s="6">
        <v>68</v>
      </c>
      <c r="D19" s="7" t="s">
        <v>8</v>
      </c>
      <c r="E19" s="8">
        <v>3117017</v>
      </c>
      <c r="F19" s="8">
        <f t="shared" si="0"/>
        <v>2940582.0754716978</v>
      </c>
      <c r="G19" s="9">
        <f t="shared" si="1"/>
        <v>176434.92452830187</v>
      </c>
    </row>
    <row r="20" spans="2:7" x14ac:dyDescent="0.25">
      <c r="B20" s="5">
        <v>44316</v>
      </c>
      <c r="C20" s="6">
        <v>65</v>
      </c>
      <c r="D20" s="7" t="s">
        <v>8</v>
      </c>
      <c r="E20" s="8">
        <v>4116477</v>
      </c>
      <c r="F20" s="8">
        <f t="shared" si="0"/>
        <v>3883468.8679245282</v>
      </c>
      <c r="G20" s="9">
        <f t="shared" si="1"/>
        <v>233008.13207547169</v>
      </c>
    </row>
    <row r="21" spans="2:7" x14ac:dyDescent="0.25">
      <c r="B21" s="5">
        <v>44316</v>
      </c>
      <c r="C21" s="6">
        <v>66</v>
      </c>
      <c r="D21" s="7" t="s">
        <v>8</v>
      </c>
      <c r="E21" s="8">
        <v>3659088</v>
      </c>
      <c r="F21" s="8">
        <f t="shared" si="0"/>
        <v>3451969.8113207547</v>
      </c>
      <c r="G21" s="9">
        <f t="shared" si="1"/>
        <v>207118.18867924527</v>
      </c>
    </row>
    <row r="22" spans="2:7" x14ac:dyDescent="0.25">
      <c r="B22" s="5">
        <v>44316</v>
      </c>
      <c r="C22" s="6">
        <v>67</v>
      </c>
      <c r="D22" s="7" t="s">
        <v>8</v>
      </c>
      <c r="E22" s="8">
        <v>3406402</v>
      </c>
      <c r="F22" s="8">
        <f t="shared" si="0"/>
        <v>3213586.7924528299</v>
      </c>
      <c r="G22" s="9">
        <f t="shared" si="1"/>
        <v>192815.20754716979</v>
      </c>
    </row>
    <row r="23" spans="2:7" x14ac:dyDescent="0.25">
      <c r="B23" s="5">
        <v>44316</v>
      </c>
      <c r="C23" s="6">
        <v>69</v>
      </c>
      <c r="D23" s="7" t="s">
        <v>8</v>
      </c>
      <c r="E23" s="8">
        <v>4924612</v>
      </c>
      <c r="F23" s="8">
        <f t="shared" si="0"/>
        <v>4645860.3773584906</v>
      </c>
      <c r="G23" s="9">
        <f t="shared" si="1"/>
        <v>278751.6226415094</v>
      </c>
    </row>
    <row r="24" spans="2:7" x14ac:dyDescent="0.25">
      <c r="B24" s="5">
        <v>44346</v>
      </c>
      <c r="C24" s="6">
        <v>73</v>
      </c>
      <c r="D24" s="7" t="s">
        <v>8</v>
      </c>
      <c r="E24" s="8">
        <v>4985618</v>
      </c>
      <c r="F24" s="8">
        <f t="shared" si="0"/>
        <v>4703413.2075471692</v>
      </c>
      <c r="G24" s="9">
        <f t="shared" si="1"/>
        <v>282204.79245283012</v>
      </c>
    </row>
    <row r="25" spans="2:7" x14ac:dyDescent="0.25">
      <c r="B25" s="5">
        <v>44346</v>
      </c>
      <c r="C25" s="6">
        <v>72</v>
      </c>
      <c r="D25" s="7" t="s">
        <v>8</v>
      </c>
      <c r="E25" s="8">
        <v>3926023</v>
      </c>
      <c r="F25" s="8">
        <f t="shared" si="0"/>
        <v>3703795.283018868</v>
      </c>
      <c r="G25" s="9">
        <f t="shared" si="1"/>
        <v>222227.71698113208</v>
      </c>
    </row>
    <row r="26" spans="2:7" x14ac:dyDescent="0.25">
      <c r="B26" s="5">
        <v>44346</v>
      </c>
      <c r="C26" s="6">
        <v>71</v>
      </c>
      <c r="D26" s="7" t="s">
        <v>8</v>
      </c>
      <c r="E26" s="8">
        <v>3767112</v>
      </c>
      <c r="F26" s="8">
        <f t="shared" si="0"/>
        <v>3553879.2452830188</v>
      </c>
      <c r="G26" s="9">
        <f t="shared" si="1"/>
        <v>213232.75471698112</v>
      </c>
    </row>
    <row r="27" spans="2:7" x14ac:dyDescent="0.25">
      <c r="B27" s="5">
        <v>44346</v>
      </c>
      <c r="C27" s="6">
        <v>74</v>
      </c>
      <c r="D27" s="7" t="s">
        <v>8</v>
      </c>
      <c r="E27" s="8">
        <v>6155765</v>
      </c>
      <c r="F27" s="8">
        <f t="shared" si="0"/>
        <v>5807325.4716981128</v>
      </c>
      <c r="G27" s="9">
        <f t="shared" si="1"/>
        <v>348439.52830188675</v>
      </c>
    </row>
    <row r="28" spans="2:7" x14ac:dyDescent="0.25">
      <c r="B28" s="5">
        <v>44346</v>
      </c>
      <c r="C28" s="6">
        <v>70</v>
      </c>
      <c r="D28" s="7" t="s">
        <v>8</v>
      </c>
      <c r="E28" s="8">
        <v>2759068</v>
      </c>
      <c r="F28" s="8">
        <f t="shared" si="0"/>
        <v>2602894.3396226414</v>
      </c>
      <c r="G28" s="9">
        <f t="shared" si="1"/>
        <v>156173.66037735849</v>
      </c>
    </row>
    <row r="29" spans="2:7" x14ac:dyDescent="0.25">
      <c r="B29" s="5">
        <v>44377</v>
      </c>
      <c r="C29" s="6">
        <v>80</v>
      </c>
      <c r="D29" s="7" t="s">
        <v>8</v>
      </c>
      <c r="E29" s="8">
        <v>2676585</v>
      </c>
      <c r="F29" s="8">
        <f t="shared" si="0"/>
        <v>2525080.1886792453</v>
      </c>
      <c r="G29" s="9">
        <f t="shared" si="1"/>
        <v>151504.8113207547</v>
      </c>
    </row>
    <row r="30" spans="2:7" x14ac:dyDescent="0.25">
      <c r="B30" s="5">
        <v>44377</v>
      </c>
      <c r="C30" s="6">
        <v>75</v>
      </c>
      <c r="D30" s="7" t="s">
        <v>8</v>
      </c>
      <c r="E30" s="8">
        <v>2896527</v>
      </c>
      <c r="F30" s="8">
        <f t="shared" si="0"/>
        <v>2732572.6415094337</v>
      </c>
      <c r="G30" s="9">
        <f t="shared" si="1"/>
        <v>163954.35849056602</v>
      </c>
    </row>
    <row r="31" spans="2:7" x14ac:dyDescent="0.25">
      <c r="B31" s="5">
        <v>44377</v>
      </c>
      <c r="C31" s="6">
        <v>76</v>
      </c>
      <c r="D31" s="7" t="s">
        <v>8</v>
      </c>
      <c r="E31" s="8">
        <v>3888419</v>
      </c>
      <c r="F31" s="8">
        <f t="shared" si="0"/>
        <v>3668319.8113207547</v>
      </c>
      <c r="G31" s="9">
        <f t="shared" si="1"/>
        <v>220099.18867924527</v>
      </c>
    </row>
    <row r="32" spans="2:7" x14ac:dyDescent="0.25">
      <c r="B32" s="5">
        <v>44377</v>
      </c>
      <c r="C32" s="6">
        <v>77</v>
      </c>
      <c r="D32" s="7" t="s">
        <v>8</v>
      </c>
      <c r="E32" s="8">
        <v>3521873</v>
      </c>
      <c r="F32" s="8">
        <f t="shared" si="0"/>
        <v>3322521.6981132072</v>
      </c>
      <c r="G32" s="9">
        <f t="shared" si="1"/>
        <v>199351.30188679244</v>
      </c>
    </row>
    <row r="33" spans="2:7" x14ac:dyDescent="0.25">
      <c r="B33" s="5">
        <v>44377</v>
      </c>
      <c r="C33" s="6">
        <v>79</v>
      </c>
      <c r="D33" s="7" t="s">
        <v>8</v>
      </c>
      <c r="E33" s="8">
        <v>5596150</v>
      </c>
      <c r="F33" s="8">
        <f t="shared" si="0"/>
        <v>5279386.7924528299</v>
      </c>
      <c r="G33" s="9">
        <f t="shared" si="1"/>
        <v>316763.20754716976</v>
      </c>
    </row>
    <row r="34" spans="2:7" x14ac:dyDescent="0.25">
      <c r="B34" s="5">
        <v>44377</v>
      </c>
      <c r="C34" s="6">
        <v>78</v>
      </c>
      <c r="D34" s="7" t="s">
        <v>8</v>
      </c>
      <c r="E34" s="8">
        <v>4713675</v>
      </c>
      <c r="F34" s="8">
        <f t="shared" si="0"/>
        <v>4446863.2075471692</v>
      </c>
      <c r="G34" s="9">
        <f t="shared" si="1"/>
        <v>266811.79245283012</v>
      </c>
    </row>
    <row r="35" spans="2:7" x14ac:dyDescent="0.25">
      <c r="B35" s="5">
        <v>44408</v>
      </c>
      <c r="C35" s="6">
        <v>87</v>
      </c>
      <c r="D35" s="7" t="s">
        <v>10</v>
      </c>
      <c r="E35" s="8">
        <v>538880</v>
      </c>
      <c r="F35" s="8">
        <f t="shared" si="0"/>
        <v>508377.35849056602</v>
      </c>
      <c r="G35" s="9">
        <f t="shared" si="1"/>
        <v>30502.641509433961</v>
      </c>
    </row>
    <row r="36" spans="2:7" x14ac:dyDescent="0.25">
      <c r="B36" s="5">
        <v>44408</v>
      </c>
      <c r="C36" s="6">
        <v>86</v>
      </c>
      <c r="D36" s="7" t="s">
        <v>8</v>
      </c>
      <c r="E36" s="8">
        <v>606166</v>
      </c>
      <c r="F36" s="8">
        <f t="shared" si="0"/>
        <v>571854.71698113205</v>
      </c>
      <c r="G36" s="9">
        <f t="shared" si="1"/>
        <v>34311.283018867922</v>
      </c>
    </row>
    <row r="37" spans="2:7" x14ac:dyDescent="0.25">
      <c r="B37" s="5">
        <v>44408</v>
      </c>
      <c r="C37" s="6">
        <v>85</v>
      </c>
      <c r="D37" s="7" t="s">
        <v>8</v>
      </c>
      <c r="E37" s="8">
        <v>5372304</v>
      </c>
      <c r="F37" s="8">
        <f t="shared" si="0"/>
        <v>5068211.3207547171</v>
      </c>
      <c r="G37" s="9">
        <f t="shared" si="1"/>
        <v>304092.67924528301</v>
      </c>
    </row>
    <row r="38" spans="2:7" x14ac:dyDescent="0.25">
      <c r="B38" s="5">
        <v>44408</v>
      </c>
      <c r="C38" s="6">
        <v>84</v>
      </c>
      <c r="D38" s="7" t="s">
        <v>8</v>
      </c>
      <c r="E38" s="8">
        <v>4985618</v>
      </c>
      <c r="F38" s="8">
        <f t="shared" si="0"/>
        <v>4703413.2075471692</v>
      </c>
      <c r="G38" s="9">
        <f t="shared" si="1"/>
        <v>282204.79245283012</v>
      </c>
    </row>
    <row r="39" spans="2:7" x14ac:dyDescent="0.25">
      <c r="B39" s="5">
        <v>44408</v>
      </c>
      <c r="C39" s="6">
        <v>83</v>
      </c>
      <c r="D39" s="7" t="s">
        <v>8</v>
      </c>
      <c r="E39" s="8">
        <v>3695080</v>
      </c>
      <c r="F39" s="8">
        <f t="shared" si="0"/>
        <v>3485924.5283018867</v>
      </c>
      <c r="G39" s="9">
        <f t="shared" si="1"/>
        <v>209155.47169811319</v>
      </c>
    </row>
    <row r="40" spans="2:7" x14ac:dyDescent="0.25">
      <c r="B40" s="5">
        <v>44408</v>
      </c>
      <c r="C40" s="6">
        <v>82</v>
      </c>
      <c r="D40" s="7" t="s">
        <v>8</v>
      </c>
      <c r="E40" s="8">
        <v>3888419</v>
      </c>
      <c r="F40" s="8">
        <f t="shared" si="0"/>
        <v>3668319.8113207547</v>
      </c>
      <c r="G40" s="9">
        <f t="shared" si="1"/>
        <v>220099.18867924527</v>
      </c>
    </row>
    <row r="41" spans="2:7" x14ac:dyDescent="0.25">
      <c r="B41" s="5">
        <v>44408</v>
      </c>
      <c r="C41" s="6">
        <v>81</v>
      </c>
      <c r="D41" s="7" t="s">
        <v>8</v>
      </c>
      <c r="E41" s="8">
        <v>4701465</v>
      </c>
      <c r="F41" s="8">
        <f t="shared" si="0"/>
        <v>4435344.339622641</v>
      </c>
      <c r="G41" s="9">
        <f t="shared" si="1"/>
        <v>266120.66037735844</v>
      </c>
    </row>
    <row r="42" spans="2:7" x14ac:dyDescent="0.25">
      <c r="B42" s="5">
        <v>44439</v>
      </c>
      <c r="C42" s="6">
        <v>93</v>
      </c>
      <c r="D42" s="7" t="s">
        <v>8</v>
      </c>
      <c r="E42" s="8">
        <v>1347006</v>
      </c>
      <c r="F42" s="8">
        <f t="shared" si="0"/>
        <v>1270760.3773584906</v>
      </c>
      <c r="G42" s="9">
        <f t="shared" si="1"/>
        <v>76245.622641509428</v>
      </c>
    </row>
    <row r="43" spans="2:7" x14ac:dyDescent="0.25">
      <c r="B43" s="5">
        <v>44439</v>
      </c>
      <c r="C43" s="6">
        <v>91</v>
      </c>
      <c r="D43" s="7" t="s">
        <v>8</v>
      </c>
      <c r="E43" s="8">
        <v>4577704</v>
      </c>
      <c r="F43" s="8">
        <f t="shared" si="0"/>
        <v>4318588.6792452829</v>
      </c>
      <c r="G43" s="9">
        <f t="shared" si="1"/>
        <v>259115.32075471696</v>
      </c>
    </row>
    <row r="44" spans="2:7" x14ac:dyDescent="0.25">
      <c r="B44" s="5">
        <v>44439</v>
      </c>
      <c r="C44" s="6">
        <v>90</v>
      </c>
      <c r="D44" s="7" t="s">
        <v>8</v>
      </c>
      <c r="E44" s="8">
        <v>3635567</v>
      </c>
      <c r="F44" s="8">
        <f t="shared" si="0"/>
        <v>3429780.1886792453</v>
      </c>
      <c r="G44" s="9">
        <f t="shared" si="1"/>
        <v>205786.8113207547</v>
      </c>
    </row>
    <row r="45" spans="2:7" x14ac:dyDescent="0.25">
      <c r="B45" s="5">
        <v>44439</v>
      </c>
      <c r="C45" s="6">
        <v>89</v>
      </c>
      <c r="D45" s="7" t="s">
        <v>8</v>
      </c>
      <c r="E45" s="8">
        <v>3888419</v>
      </c>
      <c r="F45" s="8">
        <f t="shared" si="0"/>
        <v>3668319.8113207547</v>
      </c>
      <c r="G45" s="9">
        <f t="shared" si="1"/>
        <v>220099.18867924527</v>
      </c>
    </row>
    <row r="46" spans="2:7" x14ac:dyDescent="0.25">
      <c r="B46" s="5">
        <v>44439</v>
      </c>
      <c r="C46" s="6">
        <v>88</v>
      </c>
      <c r="D46" s="7" t="s">
        <v>8</v>
      </c>
      <c r="E46" s="8">
        <v>4752937</v>
      </c>
      <c r="F46" s="8">
        <f t="shared" si="0"/>
        <v>4483902.8301886786</v>
      </c>
      <c r="G46" s="9">
        <f t="shared" si="1"/>
        <v>269034.16981132072</v>
      </c>
    </row>
    <row r="47" spans="2:7" x14ac:dyDescent="0.25">
      <c r="B47" s="5">
        <v>44439</v>
      </c>
      <c r="C47" s="6">
        <v>92</v>
      </c>
      <c r="D47" s="7" t="s">
        <v>8</v>
      </c>
      <c r="E47" s="8">
        <v>5148458</v>
      </c>
      <c r="F47" s="8">
        <f t="shared" si="0"/>
        <v>4857035.8490566034</v>
      </c>
      <c r="G47" s="9">
        <f t="shared" si="1"/>
        <v>291422.15094339621</v>
      </c>
    </row>
    <row r="48" spans="2:7" x14ac:dyDescent="0.25">
      <c r="B48" s="5">
        <v>44439</v>
      </c>
      <c r="C48" s="6">
        <v>94</v>
      </c>
      <c r="D48" s="7" t="s">
        <v>11</v>
      </c>
      <c r="E48" s="8">
        <v>3771216</v>
      </c>
      <c r="F48" s="8">
        <f t="shared" si="0"/>
        <v>3557750.943396226</v>
      </c>
      <c r="G48" s="9">
        <f t="shared" si="1"/>
        <v>213465.05660377356</v>
      </c>
    </row>
    <row r="49" spans="2:7" x14ac:dyDescent="0.25">
      <c r="B49" s="5">
        <v>44469</v>
      </c>
      <c r="C49" s="6">
        <v>100</v>
      </c>
      <c r="D49" s="7" t="s">
        <v>12</v>
      </c>
      <c r="E49" s="8">
        <v>441252</v>
      </c>
      <c r="F49" s="8">
        <f t="shared" si="0"/>
        <v>416275.47169811319</v>
      </c>
      <c r="G49" s="9">
        <f t="shared" si="1"/>
        <v>24976.528301886792</v>
      </c>
    </row>
    <row r="50" spans="2:7" x14ac:dyDescent="0.25">
      <c r="B50" s="5">
        <v>44439</v>
      </c>
      <c r="C50" s="6">
        <v>95</v>
      </c>
      <c r="D50" s="7" t="s">
        <v>11</v>
      </c>
      <c r="E50" s="8">
        <v>3771216</v>
      </c>
      <c r="F50" s="8">
        <f t="shared" si="0"/>
        <v>3557750.943396226</v>
      </c>
      <c r="G50" s="9">
        <f t="shared" si="1"/>
        <v>213465.05660377356</v>
      </c>
    </row>
    <row r="51" spans="2:7" x14ac:dyDescent="0.25">
      <c r="B51" s="5">
        <v>44469</v>
      </c>
      <c r="C51" s="6">
        <v>99</v>
      </c>
      <c r="D51" s="7" t="s">
        <v>13</v>
      </c>
      <c r="E51" s="8">
        <v>2496980</v>
      </c>
      <c r="F51" s="8">
        <f t="shared" si="0"/>
        <v>2355641.5094339619</v>
      </c>
      <c r="G51" s="9">
        <f t="shared" si="1"/>
        <v>141338.49056603771</v>
      </c>
    </row>
    <row r="52" spans="2:7" x14ac:dyDescent="0.25">
      <c r="B52" s="5">
        <v>44469</v>
      </c>
      <c r="C52" s="6">
        <v>97</v>
      </c>
      <c r="D52" s="7" t="s">
        <v>8</v>
      </c>
      <c r="E52" s="8">
        <v>3058312</v>
      </c>
      <c r="F52" s="8">
        <f t="shared" si="0"/>
        <v>2885200</v>
      </c>
      <c r="G52" s="9">
        <f t="shared" si="1"/>
        <v>173112</v>
      </c>
    </row>
    <row r="53" spans="2:7" x14ac:dyDescent="0.25">
      <c r="B53" s="5">
        <v>44469</v>
      </c>
      <c r="C53" s="6">
        <v>98</v>
      </c>
      <c r="D53" s="7" t="s">
        <v>11</v>
      </c>
      <c r="E53" s="8">
        <v>3771216</v>
      </c>
      <c r="F53" s="8">
        <f t="shared" si="0"/>
        <v>3557750.943396226</v>
      </c>
      <c r="G53" s="9">
        <f t="shared" si="1"/>
        <v>213465.05660377356</v>
      </c>
    </row>
    <row r="54" spans="2:7" x14ac:dyDescent="0.25">
      <c r="B54" s="5">
        <v>44469</v>
      </c>
      <c r="C54" s="6">
        <v>96</v>
      </c>
      <c r="D54" s="7" t="s">
        <v>8</v>
      </c>
      <c r="E54" s="8">
        <v>15665442</v>
      </c>
      <c r="F54" s="8">
        <f t="shared" si="0"/>
        <v>14778718.867924528</v>
      </c>
      <c r="G54" s="9">
        <f t="shared" si="1"/>
        <v>886723.13207547169</v>
      </c>
    </row>
    <row r="55" spans="2:7" x14ac:dyDescent="0.25">
      <c r="B55" s="5">
        <v>44500</v>
      </c>
      <c r="C55" s="6">
        <v>9</v>
      </c>
      <c r="D55" s="7" t="s">
        <v>11</v>
      </c>
      <c r="E55" s="8">
        <v>3771216</v>
      </c>
      <c r="F55" s="8">
        <f t="shared" si="0"/>
        <v>3557750.943396226</v>
      </c>
      <c r="G55" s="9">
        <f t="shared" si="1"/>
        <v>213465.05660377356</v>
      </c>
    </row>
    <row r="56" spans="2:7" x14ac:dyDescent="0.25">
      <c r="B56" s="5">
        <v>44500</v>
      </c>
      <c r="C56" s="6">
        <v>8</v>
      </c>
      <c r="D56" s="7" t="s">
        <v>13</v>
      </c>
      <c r="E56" s="8">
        <v>3319820</v>
      </c>
      <c r="F56" s="8">
        <f t="shared" si="0"/>
        <v>3131905.6603773586</v>
      </c>
      <c r="G56" s="9">
        <f t="shared" si="1"/>
        <v>187914.33962264151</v>
      </c>
    </row>
    <row r="57" spans="2:7" x14ac:dyDescent="0.25">
      <c r="B57" s="11">
        <v>44500</v>
      </c>
      <c r="C57" s="12">
        <v>1</v>
      </c>
      <c r="D57" s="13" t="s">
        <v>12</v>
      </c>
      <c r="E57" s="14">
        <v>1172778</v>
      </c>
      <c r="F57" s="8">
        <f t="shared" si="0"/>
        <v>1106394.3396226414</v>
      </c>
      <c r="G57" s="9">
        <f t="shared" si="1"/>
        <v>66383.660377358479</v>
      </c>
    </row>
    <row r="58" spans="2:7" x14ac:dyDescent="0.25">
      <c r="B58" s="5">
        <v>44500</v>
      </c>
      <c r="C58" s="6">
        <v>2</v>
      </c>
      <c r="D58" s="7" t="s">
        <v>8</v>
      </c>
      <c r="E58" s="8">
        <v>2181050</v>
      </c>
      <c r="F58" s="8">
        <f t="shared" si="0"/>
        <v>2057594.3396226414</v>
      </c>
      <c r="G58" s="9">
        <f t="shared" si="1"/>
        <v>123455.66037735848</v>
      </c>
    </row>
    <row r="59" spans="2:7" x14ac:dyDescent="0.25">
      <c r="B59" s="5">
        <v>44500</v>
      </c>
      <c r="C59" s="6">
        <v>3</v>
      </c>
      <c r="D59" s="7" t="s">
        <v>8</v>
      </c>
      <c r="E59" s="8">
        <v>3512985</v>
      </c>
      <c r="F59" s="8">
        <f t="shared" si="0"/>
        <v>3314136.7924528299</v>
      </c>
      <c r="G59" s="9">
        <f t="shared" si="1"/>
        <v>198848.20754716979</v>
      </c>
    </row>
    <row r="60" spans="2:7" x14ac:dyDescent="0.25">
      <c r="B60" s="5">
        <v>44500</v>
      </c>
      <c r="C60" s="6">
        <v>4</v>
      </c>
      <c r="D60" s="7" t="s">
        <v>8</v>
      </c>
      <c r="E60" s="8">
        <v>2960540</v>
      </c>
      <c r="F60" s="8">
        <f t="shared" si="0"/>
        <v>2792962.2641509431</v>
      </c>
      <c r="G60" s="9">
        <f t="shared" si="1"/>
        <v>167577.7358490566</v>
      </c>
    </row>
    <row r="61" spans="2:7" x14ac:dyDescent="0.25">
      <c r="B61" s="5">
        <v>44500</v>
      </c>
      <c r="C61" s="6">
        <v>5</v>
      </c>
      <c r="D61" s="7" t="s">
        <v>8</v>
      </c>
      <c r="E61" s="8">
        <v>3983700</v>
      </c>
      <c r="F61" s="8">
        <f t="shared" si="0"/>
        <v>3758207.5471698111</v>
      </c>
      <c r="G61" s="9">
        <f t="shared" si="1"/>
        <v>225492.45283018865</v>
      </c>
    </row>
    <row r="62" spans="2:7" x14ac:dyDescent="0.25">
      <c r="B62" s="7" t="s">
        <v>14</v>
      </c>
      <c r="C62" s="6">
        <v>6</v>
      </c>
      <c r="D62" s="7" t="s">
        <v>8</v>
      </c>
      <c r="E62" s="8">
        <v>1810200</v>
      </c>
      <c r="F62" s="8">
        <f t="shared" si="0"/>
        <v>1707735.8490566036</v>
      </c>
      <c r="G62" s="9">
        <f t="shared" si="1"/>
        <v>102464.15094339622</v>
      </c>
    </row>
    <row r="63" spans="2:7" x14ac:dyDescent="0.25">
      <c r="B63" s="5">
        <v>44500</v>
      </c>
      <c r="C63" s="6">
        <v>7</v>
      </c>
      <c r="D63" s="7" t="s">
        <v>10</v>
      </c>
      <c r="E63" s="8">
        <v>821466</v>
      </c>
      <c r="F63" s="8">
        <f t="shared" si="0"/>
        <v>774967.92452830181</v>
      </c>
      <c r="G63" s="9">
        <f t="shared" si="1"/>
        <v>46498.07547169811</v>
      </c>
    </row>
    <row r="64" spans="2:7" x14ac:dyDescent="0.25">
      <c r="B64" s="5">
        <v>44530</v>
      </c>
      <c r="C64" s="6">
        <v>14</v>
      </c>
      <c r="D64" s="7" t="s">
        <v>8</v>
      </c>
      <c r="E64" s="8">
        <v>3081540</v>
      </c>
      <c r="F64" s="8">
        <f t="shared" si="0"/>
        <v>2907113.2075471696</v>
      </c>
      <c r="G64" s="9">
        <f t="shared" si="1"/>
        <v>174426.79245283018</v>
      </c>
    </row>
    <row r="65" spans="2:7" x14ac:dyDescent="0.25">
      <c r="B65" s="5">
        <v>44530</v>
      </c>
      <c r="C65" s="6">
        <v>14</v>
      </c>
      <c r="D65" s="7" t="s">
        <v>8</v>
      </c>
      <c r="E65" s="8">
        <v>3680270</v>
      </c>
      <c r="F65" s="8">
        <f t="shared" si="0"/>
        <v>3471952.830188679</v>
      </c>
      <c r="G65" s="9">
        <f t="shared" si="1"/>
        <v>208317.16981132072</v>
      </c>
    </row>
    <row r="66" spans="2:7" x14ac:dyDescent="0.25">
      <c r="B66" s="5">
        <v>44530</v>
      </c>
      <c r="C66" s="6">
        <v>12</v>
      </c>
      <c r="D66" s="7" t="s">
        <v>8</v>
      </c>
      <c r="E66" s="8">
        <v>3866792</v>
      </c>
      <c r="F66" s="8">
        <f t="shared" si="0"/>
        <v>3647916.9811320752</v>
      </c>
      <c r="G66" s="9">
        <f t="shared" si="1"/>
        <v>218875.01886792449</v>
      </c>
    </row>
    <row r="67" spans="2:7" x14ac:dyDescent="0.25">
      <c r="B67" s="5">
        <v>44530</v>
      </c>
      <c r="C67" s="6">
        <v>18</v>
      </c>
      <c r="D67" s="7" t="s">
        <v>10</v>
      </c>
      <c r="E67" s="8">
        <v>665387</v>
      </c>
      <c r="F67" s="8">
        <f t="shared" si="0"/>
        <v>627723.58490566036</v>
      </c>
      <c r="G67" s="9">
        <f t="shared" si="1"/>
        <v>37663.415094339623</v>
      </c>
    </row>
    <row r="68" spans="2:7" x14ac:dyDescent="0.25">
      <c r="B68" s="5">
        <v>44530</v>
      </c>
      <c r="C68" s="6">
        <v>19</v>
      </c>
      <c r="D68" s="7" t="s">
        <v>13</v>
      </c>
      <c r="E68" s="8">
        <v>3191240</v>
      </c>
      <c r="F68" s="8">
        <f t="shared" si="0"/>
        <v>3010603.7735849055</v>
      </c>
      <c r="G68" s="9">
        <f t="shared" si="1"/>
        <v>180636.22641509434</v>
      </c>
    </row>
    <row r="69" spans="2:7" x14ac:dyDescent="0.25">
      <c r="B69" s="5">
        <v>44530</v>
      </c>
      <c r="C69" s="6">
        <v>20</v>
      </c>
      <c r="D69" s="7" t="s">
        <v>11</v>
      </c>
      <c r="E69" s="8">
        <v>3771216</v>
      </c>
      <c r="F69" s="8">
        <f t="shared" si="0"/>
        <v>3557750.943396226</v>
      </c>
      <c r="G69" s="9">
        <f t="shared" si="1"/>
        <v>213465.05660377356</v>
      </c>
    </row>
    <row r="70" spans="2:7" x14ac:dyDescent="0.25">
      <c r="B70" s="5">
        <v>44469</v>
      </c>
      <c r="C70" s="6">
        <v>11</v>
      </c>
      <c r="D70" s="7" t="s">
        <v>10</v>
      </c>
      <c r="E70" s="8">
        <v>1175283</v>
      </c>
      <c r="F70" s="8">
        <f t="shared" si="0"/>
        <v>1108757.5471698113</v>
      </c>
      <c r="G70" s="9">
        <f t="shared" si="1"/>
        <v>66525.452830188675</v>
      </c>
    </row>
    <row r="71" spans="2:7" x14ac:dyDescent="0.25">
      <c r="B71" s="5">
        <v>44530</v>
      </c>
      <c r="C71" s="6">
        <v>21</v>
      </c>
      <c r="D71" s="7" t="s">
        <v>8</v>
      </c>
      <c r="E71" s="8">
        <v>2278049</v>
      </c>
      <c r="F71" s="8">
        <f t="shared" si="0"/>
        <v>2149102.830188679</v>
      </c>
      <c r="G71" s="9">
        <f t="shared" si="1"/>
        <v>128946.16981132074</v>
      </c>
    </row>
    <row r="72" spans="2:7" x14ac:dyDescent="0.25">
      <c r="B72" s="5">
        <v>44530</v>
      </c>
      <c r="C72" s="6">
        <v>16</v>
      </c>
      <c r="D72" s="7" t="s">
        <v>12</v>
      </c>
      <c r="E72" s="8">
        <v>1279658</v>
      </c>
      <c r="F72" s="8">
        <f t="shared" ref="F72:F83" si="2">+E72/1.06</f>
        <v>1207224.5283018867</v>
      </c>
      <c r="G72" s="9">
        <f t="shared" ref="G72:G84" si="3">+F72*0.06</f>
        <v>72433.471698113208</v>
      </c>
    </row>
    <row r="73" spans="2:7" x14ac:dyDescent="0.25">
      <c r="B73" s="5">
        <v>44561</v>
      </c>
      <c r="C73" s="6">
        <v>24</v>
      </c>
      <c r="D73" s="7" t="s">
        <v>11</v>
      </c>
      <c r="E73" s="8">
        <v>3771216</v>
      </c>
      <c r="F73" s="8">
        <f t="shared" si="2"/>
        <v>3557750.943396226</v>
      </c>
      <c r="G73" s="9">
        <f t="shared" si="3"/>
        <v>213465.05660377356</v>
      </c>
    </row>
    <row r="74" spans="2:7" x14ac:dyDescent="0.25">
      <c r="B74" s="5">
        <v>44561</v>
      </c>
      <c r="C74" s="6">
        <v>27</v>
      </c>
      <c r="D74" s="7" t="s">
        <v>8</v>
      </c>
      <c r="E74" s="8">
        <v>3847555</v>
      </c>
      <c r="F74" s="8">
        <f t="shared" si="2"/>
        <v>3629768.8679245282</v>
      </c>
      <c r="G74" s="9">
        <f t="shared" si="3"/>
        <v>217786.13207547169</v>
      </c>
    </row>
    <row r="75" spans="2:7" x14ac:dyDescent="0.25">
      <c r="B75" s="5">
        <v>44561</v>
      </c>
      <c r="C75" s="6">
        <v>26</v>
      </c>
      <c r="D75" s="7" t="s">
        <v>8</v>
      </c>
      <c r="E75" s="8">
        <v>3866792</v>
      </c>
      <c r="F75" s="8">
        <f t="shared" si="2"/>
        <v>3647916.9811320752</v>
      </c>
      <c r="G75" s="9">
        <f t="shared" si="3"/>
        <v>218875.01886792449</v>
      </c>
    </row>
    <row r="76" spans="2:7" x14ac:dyDescent="0.25">
      <c r="B76" s="5">
        <v>44561</v>
      </c>
      <c r="C76" s="6">
        <v>28</v>
      </c>
      <c r="D76" s="7" t="s">
        <v>8</v>
      </c>
      <c r="E76" s="8">
        <v>3158360</v>
      </c>
      <c r="F76" s="8">
        <f t="shared" si="2"/>
        <v>2979584.9056603773</v>
      </c>
      <c r="G76" s="9">
        <f t="shared" si="3"/>
        <v>178775.09433962262</v>
      </c>
    </row>
    <row r="77" spans="2:7" x14ac:dyDescent="0.25">
      <c r="B77" s="5">
        <v>44561</v>
      </c>
      <c r="C77" s="6">
        <v>33</v>
      </c>
      <c r="D77" s="7" t="s">
        <v>11</v>
      </c>
      <c r="E77" s="8">
        <v>3069820</v>
      </c>
      <c r="F77" s="8">
        <f t="shared" si="2"/>
        <v>2896056.6037735846</v>
      </c>
      <c r="G77" s="9">
        <f t="shared" si="3"/>
        <v>173763.39622641506</v>
      </c>
    </row>
    <row r="78" spans="2:7" x14ac:dyDescent="0.25">
      <c r="B78" s="5">
        <v>44561</v>
      </c>
      <c r="C78" s="6">
        <v>23</v>
      </c>
      <c r="D78" s="7" t="s">
        <v>12</v>
      </c>
      <c r="E78" s="8">
        <v>1528173</v>
      </c>
      <c r="F78" s="8">
        <f t="shared" si="2"/>
        <v>1441672.641509434</v>
      </c>
      <c r="G78" s="9">
        <f t="shared" si="3"/>
        <v>86500.358490566039</v>
      </c>
    </row>
    <row r="79" spans="2:7" x14ac:dyDescent="0.25">
      <c r="B79" s="5">
        <v>44560</v>
      </c>
      <c r="C79" s="6">
        <v>25</v>
      </c>
      <c r="D79" s="7" t="s">
        <v>10</v>
      </c>
      <c r="E79" s="8">
        <v>665403</v>
      </c>
      <c r="F79" s="8">
        <f t="shared" si="2"/>
        <v>627738.67924528301</v>
      </c>
      <c r="G79" s="9">
        <f t="shared" si="3"/>
        <v>37664.32075471698</v>
      </c>
    </row>
    <row r="80" spans="2:7" x14ac:dyDescent="0.25">
      <c r="B80" s="5">
        <v>44560</v>
      </c>
      <c r="C80" s="6">
        <v>17</v>
      </c>
      <c r="D80" s="7" t="s">
        <v>12</v>
      </c>
      <c r="E80" s="8">
        <v>3600000</v>
      </c>
      <c r="F80" s="8">
        <f t="shared" si="2"/>
        <v>3396226.4150943393</v>
      </c>
      <c r="G80" s="9">
        <f t="shared" si="3"/>
        <v>203773.58490566036</v>
      </c>
    </row>
    <row r="81" spans="2:7" x14ac:dyDescent="0.25">
      <c r="B81" s="5">
        <v>44561</v>
      </c>
      <c r="C81" s="6">
        <v>29</v>
      </c>
      <c r="D81" s="7" t="s">
        <v>13</v>
      </c>
      <c r="E81" s="8">
        <v>2675560</v>
      </c>
      <c r="F81" s="8">
        <f t="shared" si="2"/>
        <v>2524113.2075471696</v>
      </c>
      <c r="G81" s="9">
        <f t="shared" si="3"/>
        <v>151446.79245283018</v>
      </c>
    </row>
    <row r="82" spans="2:7" x14ac:dyDescent="0.25">
      <c r="B82" s="5">
        <v>44543</v>
      </c>
      <c r="C82" s="6">
        <v>43</v>
      </c>
      <c r="D82" s="7" t="s">
        <v>8</v>
      </c>
      <c r="E82" s="8">
        <v>3829100</v>
      </c>
      <c r="F82" s="8">
        <f t="shared" si="2"/>
        <v>3612358.4905660376</v>
      </c>
      <c r="G82" s="9">
        <f t="shared" si="3"/>
        <v>216741.50943396226</v>
      </c>
    </row>
    <row r="83" spans="2:7" x14ac:dyDescent="0.25">
      <c r="B83" s="5">
        <v>44543</v>
      </c>
      <c r="C83" s="6">
        <v>37</v>
      </c>
      <c r="D83" s="7" t="s">
        <v>8</v>
      </c>
      <c r="E83" s="8">
        <v>3569500</v>
      </c>
      <c r="F83" s="8">
        <f t="shared" si="2"/>
        <v>3367452.830188679</v>
      </c>
      <c r="G83" s="9">
        <f t="shared" si="3"/>
        <v>202047.16981132072</v>
      </c>
    </row>
    <row r="84" spans="2:7" x14ac:dyDescent="0.25">
      <c r="B84" s="2" t="s">
        <v>15</v>
      </c>
      <c r="C84" s="2"/>
      <c r="D84" s="2"/>
      <c r="E84" s="15">
        <f>SUM(E7:E83)</f>
        <v>267471274</v>
      </c>
      <c r="F84" s="16">
        <f>SUM(F7:F83)</f>
        <v>252331390.56603795</v>
      </c>
      <c r="G84" s="17">
        <f t="shared" si="3"/>
        <v>15139883.433962276</v>
      </c>
    </row>
    <row r="87" spans="2:7" x14ac:dyDescent="0.25">
      <c r="F8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51D4-028C-498A-845D-14F552A5CB64}">
  <dimension ref="B2:I146"/>
  <sheetViews>
    <sheetView topLeftCell="A114" workbookViewId="0">
      <selection activeCell="D166" sqref="D166"/>
    </sheetView>
  </sheetViews>
  <sheetFormatPr baseColWidth="10" defaultRowHeight="15" x14ac:dyDescent="0.25"/>
  <cols>
    <col min="4" max="4" width="15.42578125" customWidth="1"/>
    <col min="5" max="5" width="34.28515625" customWidth="1"/>
    <col min="6" max="6" width="15.5703125" customWidth="1"/>
    <col min="7" max="7" width="20" customWidth="1"/>
    <col min="8" max="8" width="15.7109375" customWidth="1"/>
    <col min="10" max="10" width="15.28515625" bestFit="1" customWidth="1"/>
  </cols>
  <sheetData>
    <row r="2" spans="2:9" ht="18.75" x14ac:dyDescent="0.3">
      <c r="B2" s="40" t="s">
        <v>16</v>
      </c>
      <c r="C2" s="40"/>
      <c r="D2" s="40"/>
    </row>
    <row r="4" spans="2:9" x14ac:dyDescent="0.25">
      <c r="B4" s="2" t="s">
        <v>17</v>
      </c>
      <c r="C4" s="2" t="s">
        <v>2</v>
      </c>
      <c r="D4" s="2" t="s">
        <v>3</v>
      </c>
      <c r="E4" s="3" t="s">
        <v>18</v>
      </c>
      <c r="F4" s="39" t="s">
        <v>19</v>
      </c>
      <c r="G4" s="2" t="s">
        <v>20</v>
      </c>
    </row>
    <row r="5" spans="2:9" x14ac:dyDescent="0.25">
      <c r="B5" s="5">
        <v>44592</v>
      </c>
      <c r="C5" s="7">
        <v>42</v>
      </c>
      <c r="D5" s="7" t="s">
        <v>21</v>
      </c>
      <c r="E5" s="8">
        <v>3758685</v>
      </c>
      <c r="F5" s="18">
        <f>+E5/1.06</f>
        <v>3545929.2452830188</v>
      </c>
      <c r="G5" s="18">
        <f>+F5*6%</f>
        <v>212755.75471698112</v>
      </c>
      <c r="I5" s="19"/>
    </row>
    <row r="6" spans="2:9" x14ac:dyDescent="0.25">
      <c r="B6" s="5">
        <v>44592</v>
      </c>
      <c r="C6" s="7">
        <v>37</v>
      </c>
      <c r="D6" s="7" t="s">
        <v>21</v>
      </c>
      <c r="E6" s="8">
        <v>3928395</v>
      </c>
      <c r="F6" s="18">
        <f t="shared" ref="F6:F69" si="0">+E6/1.06</f>
        <v>3706033.0188679243</v>
      </c>
      <c r="G6" s="18">
        <f t="shared" ref="G6:G69" si="1">+F6*6%</f>
        <v>222361.98113207545</v>
      </c>
    </row>
    <row r="7" spans="2:9" x14ac:dyDescent="0.25">
      <c r="B7" s="5">
        <v>44592</v>
      </c>
      <c r="C7" s="7">
        <v>34</v>
      </c>
      <c r="D7" s="7" t="s">
        <v>21</v>
      </c>
      <c r="E7" s="8">
        <v>4370895</v>
      </c>
      <c r="F7" s="18">
        <f t="shared" si="0"/>
        <v>4123485.8490566034</v>
      </c>
      <c r="G7" s="18">
        <f t="shared" si="1"/>
        <v>247409.15094339621</v>
      </c>
    </row>
    <row r="8" spans="2:9" x14ac:dyDescent="0.25">
      <c r="B8" s="5">
        <v>44592</v>
      </c>
      <c r="C8" s="7">
        <v>36</v>
      </c>
      <c r="D8" s="7" t="s">
        <v>21</v>
      </c>
      <c r="E8" s="8">
        <v>3451232</v>
      </c>
      <c r="F8" s="18">
        <f t="shared" si="0"/>
        <v>3255879.2452830188</v>
      </c>
      <c r="G8" s="18">
        <f t="shared" si="1"/>
        <v>195352.75471698112</v>
      </c>
    </row>
    <row r="9" spans="2:9" x14ac:dyDescent="0.25">
      <c r="B9" s="5">
        <v>44590</v>
      </c>
      <c r="C9" s="7">
        <v>38</v>
      </c>
      <c r="D9" s="7" t="s">
        <v>22</v>
      </c>
      <c r="E9" s="8">
        <v>500000</v>
      </c>
      <c r="F9" s="18">
        <f t="shared" si="0"/>
        <v>471698.11320754717</v>
      </c>
      <c r="G9" s="18">
        <f t="shared" si="1"/>
        <v>28301.886792452828</v>
      </c>
    </row>
    <row r="10" spans="2:9" x14ac:dyDescent="0.25">
      <c r="B10" s="5">
        <v>44592</v>
      </c>
      <c r="C10" s="7">
        <v>39</v>
      </c>
      <c r="D10" s="7" t="s">
        <v>23</v>
      </c>
      <c r="E10" s="8">
        <v>3771216</v>
      </c>
      <c r="F10" s="18">
        <f t="shared" si="0"/>
        <v>3557750.943396226</v>
      </c>
      <c r="G10" s="18">
        <f t="shared" si="1"/>
        <v>213465.05660377356</v>
      </c>
    </row>
    <row r="11" spans="2:9" x14ac:dyDescent="0.25">
      <c r="B11" s="5">
        <v>44592</v>
      </c>
      <c r="C11" s="7">
        <v>40</v>
      </c>
      <c r="D11" s="7" t="s">
        <v>10</v>
      </c>
      <c r="E11" s="8">
        <v>665403</v>
      </c>
      <c r="F11" s="18">
        <f t="shared" si="0"/>
        <v>627738.67924528301</v>
      </c>
      <c r="G11" s="18">
        <f t="shared" si="1"/>
        <v>37664.32075471698</v>
      </c>
    </row>
    <row r="12" spans="2:9" x14ac:dyDescent="0.25">
      <c r="B12" s="5">
        <v>44592</v>
      </c>
      <c r="C12" s="7">
        <v>31</v>
      </c>
      <c r="D12" s="7" t="s">
        <v>24</v>
      </c>
      <c r="E12" s="8">
        <v>258562</v>
      </c>
      <c r="F12" s="18">
        <f t="shared" si="0"/>
        <v>243926.41509433961</v>
      </c>
      <c r="G12" s="18">
        <f t="shared" si="1"/>
        <v>14635.584905660377</v>
      </c>
    </row>
    <row r="13" spans="2:9" x14ac:dyDescent="0.25">
      <c r="B13" s="5">
        <v>44593</v>
      </c>
      <c r="C13" s="7">
        <v>49</v>
      </c>
      <c r="D13" s="7" t="s">
        <v>25</v>
      </c>
      <c r="E13" s="8">
        <v>6000000</v>
      </c>
      <c r="F13" s="18">
        <f t="shared" si="0"/>
        <v>5660377.3584905658</v>
      </c>
      <c r="G13" s="18">
        <f t="shared" si="1"/>
        <v>339622.64150943392</v>
      </c>
    </row>
    <row r="14" spans="2:9" x14ac:dyDescent="0.25">
      <c r="B14" s="5">
        <v>44620</v>
      </c>
      <c r="C14" s="7">
        <v>48</v>
      </c>
      <c r="D14" s="7" t="s">
        <v>10</v>
      </c>
      <c r="E14" s="8">
        <v>993108</v>
      </c>
      <c r="F14" s="18">
        <f t="shared" si="0"/>
        <v>936894.33962264145</v>
      </c>
      <c r="G14" s="18">
        <f t="shared" si="1"/>
        <v>56213.660377358487</v>
      </c>
    </row>
    <row r="15" spans="2:9" x14ac:dyDescent="0.25">
      <c r="B15" s="5">
        <v>44620</v>
      </c>
      <c r="C15" s="7">
        <v>47</v>
      </c>
      <c r="D15" s="7" t="s">
        <v>23</v>
      </c>
      <c r="E15" s="8">
        <v>3771216</v>
      </c>
      <c r="F15" s="18">
        <f t="shared" si="0"/>
        <v>3557750.943396226</v>
      </c>
      <c r="G15" s="18">
        <f t="shared" si="1"/>
        <v>213465.05660377356</v>
      </c>
    </row>
    <row r="16" spans="2:9" x14ac:dyDescent="0.25">
      <c r="B16" s="5">
        <v>44620</v>
      </c>
      <c r="C16" s="7">
        <v>46</v>
      </c>
      <c r="D16" s="7" t="s">
        <v>26</v>
      </c>
      <c r="E16" s="8">
        <v>2098400</v>
      </c>
      <c r="F16" s="18">
        <f t="shared" si="0"/>
        <v>1979622.641509434</v>
      </c>
      <c r="G16" s="18">
        <f t="shared" si="1"/>
        <v>118777.35849056604</v>
      </c>
    </row>
    <row r="17" spans="2:9" x14ac:dyDescent="0.25">
      <c r="B17" s="5">
        <v>44620</v>
      </c>
      <c r="C17" s="7">
        <v>45</v>
      </c>
      <c r="D17" s="7" t="s">
        <v>24</v>
      </c>
      <c r="E17" s="8">
        <v>2221157</v>
      </c>
      <c r="F17" s="18">
        <f t="shared" si="0"/>
        <v>2095431.1320754716</v>
      </c>
      <c r="G17" s="18">
        <f t="shared" si="1"/>
        <v>125725.86792452828</v>
      </c>
    </row>
    <row r="18" spans="2:9" x14ac:dyDescent="0.25">
      <c r="B18" s="5">
        <v>44620</v>
      </c>
      <c r="C18" s="7">
        <v>43</v>
      </c>
      <c r="D18" s="7" t="s">
        <v>21</v>
      </c>
      <c r="E18" s="8">
        <v>4990515</v>
      </c>
      <c r="F18" s="18">
        <f t="shared" si="0"/>
        <v>4708033.0188679239</v>
      </c>
      <c r="G18" s="18">
        <f t="shared" si="1"/>
        <v>282481.98113207542</v>
      </c>
    </row>
    <row r="19" spans="2:9" x14ac:dyDescent="0.25">
      <c r="B19" s="5">
        <v>44651</v>
      </c>
      <c r="C19" s="7">
        <v>59</v>
      </c>
      <c r="D19" s="7" t="s">
        <v>27</v>
      </c>
      <c r="E19" s="8">
        <v>360013</v>
      </c>
      <c r="F19" s="18">
        <f t="shared" si="0"/>
        <v>339634.90566037735</v>
      </c>
      <c r="G19" s="18">
        <f t="shared" si="1"/>
        <v>20378.094339622639</v>
      </c>
    </row>
    <row r="20" spans="2:9" x14ac:dyDescent="0.25">
      <c r="B20" s="7" t="s">
        <v>28</v>
      </c>
      <c r="C20" s="7">
        <v>58</v>
      </c>
      <c r="D20" s="7" t="s">
        <v>10</v>
      </c>
      <c r="E20" s="8">
        <v>973583</v>
      </c>
      <c r="F20" s="18">
        <f t="shared" si="0"/>
        <v>918474.52830188675</v>
      </c>
      <c r="G20" s="18">
        <f t="shared" si="1"/>
        <v>55108.471698113201</v>
      </c>
    </row>
    <row r="21" spans="2:9" x14ac:dyDescent="0.25">
      <c r="B21" s="5">
        <v>44651</v>
      </c>
      <c r="C21" s="7">
        <v>53</v>
      </c>
      <c r="D21" s="7" t="s">
        <v>24</v>
      </c>
      <c r="E21" s="8">
        <v>2221157</v>
      </c>
      <c r="F21" s="18">
        <f t="shared" si="0"/>
        <v>2095431.1320754716</v>
      </c>
      <c r="G21" s="18">
        <f t="shared" si="1"/>
        <v>125725.86792452828</v>
      </c>
    </row>
    <row r="22" spans="2:9" x14ac:dyDescent="0.25">
      <c r="B22" s="5">
        <v>44651</v>
      </c>
      <c r="C22" s="7">
        <v>56</v>
      </c>
      <c r="D22" s="7" t="s">
        <v>21</v>
      </c>
      <c r="E22" s="8">
        <v>4622658</v>
      </c>
      <c r="F22" s="18">
        <f t="shared" si="0"/>
        <v>4360998.113207547</v>
      </c>
      <c r="G22" s="18">
        <f t="shared" si="1"/>
        <v>261659.8867924528</v>
      </c>
    </row>
    <row r="23" spans="2:9" x14ac:dyDescent="0.25">
      <c r="B23" s="7" t="s">
        <v>29</v>
      </c>
      <c r="C23" s="7">
        <v>57</v>
      </c>
      <c r="D23" s="7" t="s">
        <v>21</v>
      </c>
      <c r="E23" s="8">
        <v>5839861</v>
      </c>
      <c r="F23" s="18">
        <f t="shared" si="0"/>
        <v>5509302.8301886786</v>
      </c>
      <c r="G23" s="18">
        <f t="shared" si="1"/>
        <v>330558.16981132072</v>
      </c>
    </row>
    <row r="24" spans="2:9" x14ac:dyDescent="0.25">
      <c r="B24" s="5">
        <v>44651</v>
      </c>
      <c r="C24" s="7">
        <v>55</v>
      </c>
      <c r="D24" s="7" t="s">
        <v>26</v>
      </c>
      <c r="E24" s="8">
        <v>3332660</v>
      </c>
      <c r="F24" s="18">
        <f t="shared" si="0"/>
        <v>3144018.8679245282</v>
      </c>
      <c r="G24" s="18">
        <f t="shared" si="1"/>
        <v>188641.13207547169</v>
      </c>
    </row>
    <row r="25" spans="2:9" x14ac:dyDescent="0.25">
      <c r="B25" s="5">
        <v>44651</v>
      </c>
      <c r="C25" s="7">
        <v>54</v>
      </c>
      <c r="D25" s="7" t="s">
        <v>23</v>
      </c>
      <c r="E25" s="8">
        <v>3771216</v>
      </c>
      <c r="F25" s="18">
        <f t="shared" si="0"/>
        <v>3557750.943396226</v>
      </c>
      <c r="G25" s="18">
        <f t="shared" si="1"/>
        <v>213465.05660377356</v>
      </c>
    </row>
    <row r="26" spans="2:9" x14ac:dyDescent="0.25">
      <c r="B26" s="5">
        <v>44644</v>
      </c>
      <c r="C26" s="7">
        <v>51</v>
      </c>
      <c r="D26" s="7" t="s">
        <v>25</v>
      </c>
      <c r="E26" s="8">
        <v>500000</v>
      </c>
      <c r="F26" s="18">
        <f t="shared" si="0"/>
        <v>471698.11320754717</v>
      </c>
      <c r="G26" s="18">
        <f t="shared" si="1"/>
        <v>28301.886792452828</v>
      </c>
    </row>
    <row r="27" spans="2:9" x14ac:dyDescent="0.25">
      <c r="B27" s="5">
        <v>44635</v>
      </c>
      <c r="C27" s="7">
        <v>50</v>
      </c>
      <c r="D27" s="7" t="s">
        <v>26</v>
      </c>
      <c r="E27" s="8">
        <v>186667</v>
      </c>
      <c r="F27" s="18">
        <f t="shared" si="0"/>
        <v>176100.94339622642</v>
      </c>
      <c r="G27" s="18">
        <f t="shared" si="1"/>
        <v>10566.056603773584</v>
      </c>
    </row>
    <row r="28" spans="2:9" x14ac:dyDescent="0.25">
      <c r="B28" s="5">
        <v>44644</v>
      </c>
      <c r="C28" s="7">
        <v>52</v>
      </c>
      <c r="D28" s="7" t="s">
        <v>25</v>
      </c>
      <c r="E28" s="20">
        <v>2850000</v>
      </c>
      <c r="F28" s="18">
        <f t="shared" si="0"/>
        <v>2688679.2452830188</v>
      </c>
      <c r="G28" s="18">
        <f t="shared" si="1"/>
        <v>161320.75471698112</v>
      </c>
    </row>
    <row r="29" spans="2:9" x14ac:dyDescent="0.25">
      <c r="B29" s="5">
        <v>44665</v>
      </c>
      <c r="C29" s="7">
        <v>60</v>
      </c>
      <c r="D29" s="7" t="s">
        <v>30</v>
      </c>
      <c r="E29" s="8">
        <v>321534</v>
      </c>
      <c r="F29" s="18">
        <f t="shared" si="0"/>
        <v>303333.9622641509</v>
      </c>
      <c r="G29" s="18">
        <f t="shared" si="1"/>
        <v>18200.037735849055</v>
      </c>
    </row>
    <row r="30" spans="2:9" x14ac:dyDescent="0.25">
      <c r="B30" s="5">
        <v>44681</v>
      </c>
      <c r="C30" s="7">
        <v>69</v>
      </c>
      <c r="D30" s="7" t="s">
        <v>31</v>
      </c>
      <c r="E30" s="8">
        <v>270000</v>
      </c>
      <c r="F30" s="18">
        <f t="shared" si="0"/>
        <v>254716.98113207545</v>
      </c>
      <c r="G30" s="18">
        <f t="shared" si="1"/>
        <v>15283.018867924526</v>
      </c>
    </row>
    <row r="31" spans="2:9" x14ac:dyDescent="0.25">
      <c r="B31" s="5">
        <v>44681</v>
      </c>
      <c r="C31" s="7">
        <v>67</v>
      </c>
      <c r="D31" s="7" t="s">
        <v>10</v>
      </c>
      <c r="E31" s="8">
        <v>927576</v>
      </c>
      <c r="F31" s="18">
        <f t="shared" si="0"/>
        <v>875071.69811320747</v>
      </c>
      <c r="G31" s="18">
        <f t="shared" si="1"/>
        <v>52504.301886792447</v>
      </c>
      <c r="I31" s="8"/>
    </row>
    <row r="32" spans="2:9" x14ac:dyDescent="0.25">
      <c r="B32" s="5">
        <v>44666</v>
      </c>
      <c r="C32" s="7">
        <v>66</v>
      </c>
      <c r="D32" s="7" t="s">
        <v>30</v>
      </c>
      <c r="E32" s="8">
        <v>317333</v>
      </c>
      <c r="F32" s="18">
        <f t="shared" si="0"/>
        <v>299370.75471698114</v>
      </c>
      <c r="G32" s="18">
        <f t="shared" si="1"/>
        <v>17962.245283018867</v>
      </c>
    </row>
    <row r="33" spans="2:7" x14ac:dyDescent="0.25">
      <c r="B33" s="5">
        <v>44681</v>
      </c>
      <c r="C33" s="7">
        <v>63</v>
      </c>
      <c r="D33" s="7" t="s">
        <v>21</v>
      </c>
      <c r="E33" s="8">
        <v>2196814</v>
      </c>
      <c r="F33" s="18">
        <f t="shared" si="0"/>
        <v>2072466.0377358489</v>
      </c>
      <c r="G33" s="18">
        <f t="shared" si="1"/>
        <v>124347.96226415093</v>
      </c>
    </row>
    <row r="34" spans="2:7" x14ac:dyDescent="0.25">
      <c r="B34" s="5">
        <v>44681</v>
      </c>
      <c r="C34" s="7">
        <v>62</v>
      </c>
      <c r="D34" s="7" t="s">
        <v>21</v>
      </c>
      <c r="E34" s="8">
        <v>5246589</v>
      </c>
      <c r="F34" s="18">
        <f t="shared" si="0"/>
        <v>4949612.2641509436</v>
      </c>
      <c r="G34" s="18">
        <f t="shared" si="1"/>
        <v>296976.73584905663</v>
      </c>
    </row>
    <row r="35" spans="2:7" x14ac:dyDescent="0.25">
      <c r="B35" s="5">
        <v>44681</v>
      </c>
      <c r="C35" s="7">
        <v>61</v>
      </c>
      <c r="D35" s="7" t="s">
        <v>21</v>
      </c>
      <c r="E35" s="8">
        <v>4170237</v>
      </c>
      <c r="F35" s="18">
        <f t="shared" si="0"/>
        <v>3934185.8490566034</v>
      </c>
      <c r="G35" s="18">
        <f t="shared" si="1"/>
        <v>236051.15094339621</v>
      </c>
    </row>
    <row r="36" spans="2:7" x14ac:dyDescent="0.25">
      <c r="B36" s="5">
        <v>44681</v>
      </c>
      <c r="C36" s="7">
        <v>65</v>
      </c>
      <c r="D36" s="7" t="s">
        <v>21</v>
      </c>
      <c r="E36" s="8">
        <v>2463782</v>
      </c>
      <c r="F36" s="18">
        <f t="shared" si="0"/>
        <v>2324322.6415094337</v>
      </c>
      <c r="G36" s="18">
        <f t="shared" si="1"/>
        <v>139459.35849056602</v>
      </c>
    </row>
    <row r="37" spans="2:7" x14ac:dyDescent="0.25">
      <c r="B37" s="7" t="s">
        <v>32</v>
      </c>
      <c r="C37" s="7">
        <v>64</v>
      </c>
      <c r="D37" s="7" t="s">
        <v>33</v>
      </c>
      <c r="E37" s="8">
        <v>1093582</v>
      </c>
      <c r="F37" s="18">
        <f t="shared" si="0"/>
        <v>1031681.1320754717</v>
      </c>
      <c r="G37" s="18">
        <f t="shared" si="1"/>
        <v>61900.867924528298</v>
      </c>
    </row>
    <row r="38" spans="2:7" x14ac:dyDescent="0.25">
      <c r="B38" s="5">
        <v>44681</v>
      </c>
      <c r="C38" s="7">
        <v>72</v>
      </c>
      <c r="D38" s="7" t="s">
        <v>27</v>
      </c>
      <c r="E38" s="8">
        <v>750000</v>
      </c>
      <c r="F38" s="18">
        <f t="shared" si="0"/>
        <v>707547.16981132072</v>
      </c>
      <c r="G38" s="18">
        <f t="shared" si="1"/>
        <v>42452.83018867924</v>
      </c>
    </row>
    <row r="39" spans="2:7" x14ac:dyDescent="0.25">
      <c r="B39" s="5">
        <v>44681</v>
      </c>
      <c r="C39" s="7">
        <v>70</v>
      </c>
      <c r="D39" s="7" t="s">
        <v>23</v>
      </c>
      <c r="E39" s="8">
        <v>3771216</v>
      </c>
      <c r="F39" s="18">
        <f t="shared" si="0"/>
        <v>3557750.943396226</v>
      </c>
      <c r="G39" s="18">
        <f t="shared" si="1"/>
        <v>213465.05660377356</v>
      </c>
    </row>
    <row r="40" spans="2:7" x14ac:dyDescent="0.25">
      <c r="B40" s="5">
        <v>44681</v>
      </c>
      <c r="C40" s="7">
        <v>68</v>
      </c>
      <c r="D40" s="7" t="s">
        <v>26</v>
      </c>
      <c r="E40" s="8">
        <v>3059820</v>
      </c>
      <c r="F40" s="18">
        <f t="shared" si="0"/>
        <v>2886622.6415094337</v>
      </c>
      <c r="G40" s="18">
        <f t="shared" si="1"/>
        <v>173197.35849056602</v>
      </c>
    </row>
    <row r="41" spans="2:7" x14ac:dyDescent="0.25">
      <c r="B41" s="5">
        <v>44685</v>
      </c>
      <c r="C41" s="7">
        <v>71</v>
      </c>
      <c r="D41" s="7" t="s">
        <v>34</v>
      </c>
      <c r="E41" s="8">
        <v>1300000</v>
      </c>
      <c r="F41" s="18">
        <f t="shared" si="0"/>
        <v>1226415.0943396227</v>
      </c>
      <c r="G41" s="18">
        <f t="shared" si="1"/>
        <v>73584.90566037735</v>
      </c>
    </row>
    <row r="42" spans="2:7" x14ac:dyDescent="0.25">
      <c r="B42" s="5">
        <v>44712</v>
      </c>
      <c r="C42" s="7">
        <v>73</v>
      </c>
      <c r="D42" s="7" t="s">
        <v>31</v>
      </c>
      <c r="E42" s="8">
        <v>270000</v>
      </c>
      <c r="F42" s="18">
        <f t="shared" si="0"/>
        <v>254716.98113207545</v>
      </c>
      <c r="G42" s="18">
        <f t="shared" si="1"/>
        <v>15283.018867924526</v>
      </c>
    </row>
    <row r="43" spans="2:7" x14ac:dyDescent="0.25">
      <c r="B43" s="5">
        <v>44712</v>
      </c>
      <c r="C43" s="7">
        <v>74</v>
      </c>
      <c r="D43" s="7" t="s">
        <v>26</v>
      </c>
      <c r="E43" s="8">
        <v>3201240</v>
      </c>
      <c r="F43" s="18">
        <f t="shared" si="0"/>
        <v>3020037.7358490564</v>
      </c>
      <c r="G43" s="18">
        <f t="shared" si="1"/>
        <v>181202.26415094337</v>
      </c>
    </row>
    <row r="44" spans="2:7" x14ac:dyDescent="0.25">
      <c r="B44" s="5">
        <v>44712</v>
      </c>
      <c r="C44" s="7">
        <v>79</v>
      </c>
      <c r="D44" s="7" t="s">
        <v>21</v>
      </c>
      <c r="E44" s="8">
        <v>3195519</v>
      </c>
      <c r="F44" s="18">
        <f t="shared" si="0"/>
        <v>3014640.5660377359</v>
      </c>
      <c r="G44" s="18">
        <f t="shared" si="1"/>
        <v>180878.43396226416</v>
      </c>
    </row>
    <row r="45" spans="2:7" x14ac:dyDescent="0.25">
      <c r="B45" s="5">
        <v>44712</v>
      </c>
      <c r="C45" s="7">
        <v>78</v>
      </c>
      <c r="D45" s="7" t="s">
        <v>21</v>
      </c>
      <c r="E45" s="8">
        <v>4005289</v>
      </c>
      <c r="F45" s="18">
        <f t="shared" si="0"/>
        <v>3778574.5283018867</v>
      </c>
      <c r="G45" s="18">
        <f t="shared" si="1"/>
        <v>226714.47169811319</v>
      </c>
    </row>
    <row r="46" spans="2:7" x14ac:dyDescent="0.25">
      <c r="B46" s="5">
        <v>44712</v>
      </c>
      <c r="C46" s="7">
        <v>77</v>
      </c>
      <c r="D46" s="7" t="s">
        <v>21</v>
      </c>
      <c r="E46" s="8">
        <v>4438408</v>
      </c>
      <c r="F46" s="18">
        <f t="shared" si="0"/>
        <v>4187177.3584905658</v>
      </c>
      <c r="G46" s="18">
        <f t="shared" si="1"/>
        <v>251230.64150943395</v>
      </c>
    </row>
    <row r="47" spans="2:7" x14ac:dyDescent="0.25">
      <c r="B47" s="5">
        <v>44712</v>
      </c>
      <c r="C47" s="7">
        <v>76</v>
      </c>
      <c r="D47" s="7" t="s">
        <v>30</v>
      </c>
      <c r="E47" s="8">
        <v>706188</v>
      </c>
      <c r="F47" s="18">
        <f t="shared" si="0"/>
        <v>666215.09433962265</v>
      </c>
      <c r="G47" s="18">
        <f t="shared" si="1"/>
        <v>39972.905660377357</v>
      </c>
    </row>
    <row r="48" spans="2:7" x14ac:dyDescent="0.25">
      <c r="B48" s="5">
        <v>44712</v>
      </c>
      <c r="C48" s="7">
        <v>75</v>
      </c>
      <c r="D48" s="7" t="s">
        <v>30</v>
      </c>
      <c r="E48" s="8">
        <v>2864046</v>
      </c>
      <c r="F48" s="18">
        <f t="shared" si="0"/>
        <v>2701930.1886792453</v>
      </c>
      <c r="G48" s="18">
        <f t="shared" si="1"/>
        <v>162115.8113207547</v>
      </c>
    </row>
    <row r="49" spans="2:7" x14ac:dyDescent="0.25">
      <c r="B49" s="5">
        <v>44712</v>
      </c>
      <c r="C49" s="7">
        <v>80</v>
      </c>
      <c r="D49" s="7" t="s">
        <v>35</v>
      </c>
      <c r="E49" s="8">
        <v>230000</v>
      </c>
      <c r="F49" s="18">
        <f t="shared" si="0"/>
        <v>216981.13207547169</v>
      </c>
      <c r="G49" s="18">
        <f t="shared" si="1"/>
        <v>13018.8679245283</v>
      </c>
    </row>
    <row r="50" spans="2:7" x14ac:dyDescent="0.25">
      <c r="B50" s="5">
        <v>44712</v>
      </c>
      <c r="C50" s="7">
        <v>81</v>
      </c>
      <c r="D50" s="7" t="s">
        <v>10</v>
      </c>
      <c r="E50" s="8">
        <v>663723</v>
      </c>
      <c r="F50" s="18">
        <f t="shared" si="0"/>
        <v>626153.77358490566</v>
      </c>
      <c r="G50" s="18">
        <f t="shared" si="1"/>
        <v>37569.226415094337</v>
      </c>
    </row>
    <row r="51" spans="2:7" x14ac:dyDescent="0.25">
      <c r="B51" s="5">
        <v>44712</v>
      </c>
      <c r="C51" s="7">
        <v>82</v>
      </c>
      <c r="D51" s="7" t="s">
        <v>25</v>
      </c>
      <c r="E51" s="8">
        <v>2850000</v>
      </c>
      <c r="F51" s="18">
        <f t="shared" si="0"/>
        <v>2688679.2452830188</v>
      </c>
      <c r="G51" s="18">
        <f t="shared" si="1"/>
        <v>161320.75471698112</v>
      </c>
    </row>
    <row r="52" spans="2:7" x14ac:dyDescent="0.25">
      <c r="B52" s="5">
        <v>44712</v>
      </c>
      <c r="C52" s="7">
        <v>83</v>
      </c>
      <c r="D52" s="7" t="s">
        <v>27</v>
      </c>
      <c r="E52" s="8">
        <v>1550000</v>
      </c>
      <c r="F52" s="18">
        <f t="shared" si="0"/>
        <v>1462264.1509433961</v>
      </c>
      <c r="G52" s="18">
        <f t="shared" si="1"/>
        <v>87735.849056603765</v>
      </c>
    </row>
    <row r="53" spans="2:7" x14ac:dyDescent="0.25">
      <c r="B53" s="5">
        <v>44712</v>
      </c>
      <c r="C53" s="7">
        <v>85</v>
      </c>
      <c r="D53" s="7" t="s">
        <v>36</v>
      </c>
      <c r="E53" s="8">
        <v>93000</v>
      </c>
      <c r="F53" s="18">
        <f t="shared" si="0"/>
        <v>87735.849056603765</v>
      </c>
      <c r="G53" s="18">
        <f t="shared" si="1"/>
        <v>5264.1509433962256</v>
      </c>
    </row>
    <row r="54" spans="2:7" x14ac:dyDescent="0.25">
      <c r="B54" s="5">
        <v>44728</v>
      </c>
      <c r="C54" s="7">
        <v>87</v>
      </c>
      <c r="D54" s="7" t="s">
        <v>30</v>
      </c>
      <c r="E54" s="8">
        <v>782966</v>
      </c>
      <c r="F54" s="18">
        <f t="shared" si="0"/>
        <v>738647.16981132072</v>
      </c>
      <c r="G54" s="18">
        <f t="shared" si="1"/>
        <v>44318.83018867924</v>
      </c>
    </row>
    <row r="55" spans="2:7" x14ac:dyDescent="0.25">
      <c r="B55" s="5">
        <v>44742</v>
      </c>
      <c r="C55" s="7">
        <v>88</v>
      </c>
      <c r="D55" s="7" t="s">
        <v>26</v>
      </c>
      <c r="E55" s="8">
        <v>3765840</v>
      </c>
      <c r="F55" s="18">
        <f t="shared" si="0"/>
        <v>3552679.2452830188</v>
      </c>
      <c r="G55" s="18">
        <f t="shared" si="1"/>
        <v>213160.75471698112</v>
      </c>
    </row>
    <row r="56" spans="2:7" x14ac:dyDescent="0.25">
      <c r="B56" s="5">
        <v>44742</v>
      </c>
      <c r="C56" s="7">
        <v>89</v>
      </c>
      <c r="D56" s="7" t="s">
        <v>37</v>
      </c>
      <c r="E56" s="8">
        <v>256000</v>
      </c>
      <c r="F56" s="18">
        <f t="shared" si="0"/>
        <v>241509.43396226413</v>
      </c>
      <c r="G56" s="18">
        <f t="shared" si="1"/>
        <v>14490.566037735847</v>
      </c>
    </row>
    <row r="57" spans="2:7" x14ac:dyDescent="0.25">
      <c r="B57" s="5">
        <v>44742</v>
      </c>
      <c r="C57" s="7">
        <v>90</v>
      </c>
      <c r="D57" s="7" t="s">
        <v>21</v>
      </c>
      <c r="E57" s="8">
        <v>4354487</v>
      </c>
      <c r="F57" s="18">
        <f t="shared" si="0"/>
        <v>4108006.6037735846</v>
      </c>
      <c r="G57" s="18">
        <f t="shared" si="1"/>
        <v>246480.39622641506</v>
      </c>
    </row>
    <row r="58" spans="2:7" x14ac:dyDescent="0.25">
      <c r="B58" s="5">
        <v>44742</v>
      </c>
      <c r="C58" s="7">
        <v>91</v>
      </c>
      <c r="D58" s="7" t="s">
        <v>21</v>
      </c>
      <c r="E58" s="8">
        <v>3916946</v>
      </c>
      <c r="F58" s="18">
        <f t="shared" si="0"/>
        <v>3695232.0754716978</v>
      </c>
      <c r="G58" s="18">
        <f t="shared" si="1"/>
        <v>221713.92452830187</v>
      </c>
    </row>
    <row r="59" spans="2:7" x14ac:dyDescent="0.25">
      <c r="B59" s="5">
        <v>44742</v>
      </c>
      <c r="C59" s="7">
        <v>92</v>
      </c>
      <c r="D59" s="7" t="s">
        <v>21</v>
      </c>
      <c r="E59" s="8">
        <v>1943330</v>
      </c>
      <c r="F59" s="18">
        <f t="shared" si="0"/>
        <v>1833330.1886792453</v>
      </c>
      <c r="G59" s="18">
        <f t="shared" si="1"/>
        <v>109999.81132075471</v>
      </c>
    </row>
    <row r="60" spans="2:7" x14ac:dyDescent="0.25">
      <c r="B60" s="5">
        <v>44742</v>
      </c>
      <c r="C60" s="7">
        <v>93</v>
      </c>
      <c r="D60" s="7" t="s">
        <v>21</v>
      </c>
      <c r="E60" s="8">
        <v>4339490</v>
      </c>
      <c r="F60" s="18">
        <f t="shared" si="0"/>
        <v>4093858.4905660376</v>
      </c>
      <c r="G60" s="18">
        <f t="shared" si="1"/>
        <v>245631.50943396226</v>
      </c>
    </row>
    <row r="61" spans="2:7" x14ac:dyDescent="0.25">
      <c r="B61" s="5">
        <v>44742</v>
      </c>
      <c r="C61" s="7">
        <v>95</v>
      </c>
      <c r="D61" s="7" t="s">
        <v>10</v>
      </c>
      <c r="E61" s="8">
        <v>658670</v>
      </c>
      <c r="F61" s="18">
        <f t="shared" si="0"/>
        <v>621386.79245283012</v>
      </c>
      <c r="G61" s="18">
        <f t="shared" si="1"/>
        <v>37283.207547169804</v>
      </c>
    </row>
    <row r="62" spans="2:7" x14ac:dyDescent="0.25">
      <c r="B62" s="5">
        <v>44742</v>
      </c>
      <c r="C62" s="7">
        <v>96</v>
      </c>
      <c r="D62" s="7" t="s">
        <v>31</v>
      </c>
      <c r="E62" s="8">
        <v>270000</v>
      </c>
      <c r="F62" s="18">
        <f t="shared" si="0"/>
        <v>254716.98113207545</v>
      </c>
      <c r="G62" s="18">
        <f t="shared" si="1"/>
        <v>15283.018867924526</v>
      </c>
    </row>
    <row r="63" spans="2:7" x14ac:dyDescent="0.25">
      <c r="B63" s="5">
        <v>44742</v>
      </c>
      <c r="C63" s="7">
        <v>94</v>
      </c>
      <c r="D63" s="7" t="s">
        <v>24</v>
      </c>
      <c r="E63" s="8">
        <v>3049495</v>
      </c>
      <c r="F63" s="18">
        <f t="shared" si="0"/>
        <v>2876882.0754716978</v>
      </c>
      <c r="G63" s="18">
        <f t="shared" si="1"/>
        <v>172612.92452830187</v>
      </c>
    </row>
    <row r="64" spans="2:7" x14ac:dyDescent="0.25">
      <c r="B64" s="5">
        <v>44742</v>
      </c>
      <c r="C64" s="7">
        <v>98</v>
      </c>
      <c r="D64" s="7" t="s">
        <v>36</v>
      </c>
      <c r="E64" s="8">
        <v>84570</v>
      </c>
      <c r="F64" s="18">
        <f t="shared" si="0"/>
        <v>79783.018867924518</v>
      </c>
      <c r="G64" s="18">
        <f t="shared" si="1"/>
        <v>4786.9811320754707</v>
      </c>
    </row>
    <row r="65" spans="2:7" x14ac:dyDescent="0.25">
      <c r="B65" s="5">
        <v>44742</v>
      </c>
      <c r="C65" s="7">
        <v>99</v>
      </c>
      <c r="D65" s="7" t="s">
        <v>27</v>
      </c>
      <c r="E65" s="8">
        <v>1792424</v>
      </c>
      <c r="F65" s="18">
        <f t="shared" si="0"/>
        <v>1690966.0377358489</v>
      </c>
      <c r="G65" s="18">
        <f t="shared" si="1"/>
        <v>101457.96226415093</v>
      </c>
    </row>
    <row r="66" spans="2:7" x14ac:dyDescent="0.25">
      <c r="B66" s="5">
        <v>44742</v>
      </c>
      <c r="C66" s="7">
        <v>1</v>
      </c>
      <c r="D66" s="7" t="s">
        <v>33</v>
      </c>
      <c r="E66" s="8">
        <v>4006442</v>
      </c>
      <c r="F66" s="18">
        <f t="shared" si="0"/>
        <v>3779662.2641509431</v>
      </c>
      <c r="G66" s="18">
        <f t="shared" si="1"/>
        <v>226779.73584905657</v>
      </c>
    </row>
    <row r="67" spans="2:7" x14ac:dyDescent="0.25">
      <c r="B67" s="5">
        <v>44742</v>
      </c>
      <c r="C67" s="7">
        <v>2</v>
      </c>
      <c r="D67" s="7" t="s">
        <v>35</v>
      </c>
      <c r="E67" s="8">
        <v>254000</v>
      </c>
      <c r="F67" s="18">
        <f t="shared" si="0"/>
        <v>239622.64150943395</v>
      </c>
      <c r="G67" s="18">
        <f t="shared" si="1"/>
        <v>14377.358490566035</v>
      </c>
    </row>
    <row r="68" spans="2:7" x14ac:dyDescent="0.25">
      <c r="B68" s="5">
        <v>44764</v>
      </c>
      <c r="C68" s="7">
        <v>3</v>
      </c>
      <c r="D68" s="7" t="s">
        <v>38</v>
      </c>
      <c r="E68" s="8">
        <v>262400</v>
      </c>
      <c r="F68" s="18">
        <f t="shared" si="0"/>
        <v>247547.16981132075</v>
      </c>
      <c r="G68" s="18">
        <f t="shared" si="1"/>
        <v>14852.830188679245</v>
      </c>
    </row>
    <row r="69" spans="2:7" x14ac:dyDescent="0.25">
      <c r="B69" s="5">
        <v>44773</v>
      </c>
      <c r="C69" s="7">
        <v>5</v>
      </c>
      <c r="D69" s="7" t="s">
        <v>21</v>
      </c>
      <c r="E69" s="8">
        <v>4270566</v>
      </c>
      <c r="F69" s="18">
        <f t="shared" si="0"/>
        <v>4028835.8490566034</v>
      </c>
      <c r="G69" s="18">
        <f t="shared" si="1"/>
        <v>241730.15094339621</v>
      </c>
    </row>
    <row r="70" spans="2:7" x14ac:dyDescent="0.25">
      <c r="B70" s="5">
        <v>44773</v>
      </c>
      <c r="C70" s="7">
        <v>6</v>
      </c>
      <c r="D70" s="7" t="s">
        <v>21</v>
      </c>
      <c r="E70" s="8">
        <v>3738903</v>
      </c>
      <c r="F70" s="18">
        <f t="shared" ref="F70:F133" si="2">+E70/1.06</f>
        <v>3527266.9811320752</v>
      </c>
      <c r="G70" s="18">
        <f t="shared" ref="G70:G133" si="3">+F70*6%</f>
        <v>211636.01886792449</v>
      </c>
    </row>
    <row r="71" spans="2:7" x14ac:dyDescent="0.25">
      <c r="B71" s="5">
        <v>44772</v>
      </c>
      <c r="C71" s="7">
        <v>7</v>
      </c>
      <c r="D71" s="7" t="s">
        <v>21</v>
      </c>
      <c r="E71" s="8">
        <v>2221528</v>
      </c>
      <c r="F71" s="18">
        <f t="shared" si="2"/>
        <v>2095781.1320754716</v>
      </c>
      <c r="G71" s="18">
        <f t="shared" si="3"/>
        <v>125746.86792452828</v>
      </c>
    </row>
    <row r="72" spans="2:7" x14ac:dyDescent="0.25">
      <c r="B72" s="5">
        <v>44757</v>
      </c>
      <c r="C72" s="7">
        <v>10</v>
      </c>
      <c r="D72" s="7" t="s">
        <v>30</v>
      </c>
      <c r="E72" s="8">
        <v>825777</v>
      </c>
      <c r="F72" s="18">
        <f t="shared" si="2"/>
        <v>779034.90566037735</v>
      </c>
      <c r="G72" s="18">
        <f t="shared" si="3"/>
        <v>46742.094339622636</v>
      </c>
    </row>
    <row r="73" spans="2:7" x14ac:dyDescent="0.25">
      <c r="B73" s="5">
        <v>44773</v>
      </c>
      <c r="C73" s="7">
        <v>16</v>
      </c>
      <c r="D73" s="7" t="s">
        <v>27</v>
      </c>
      <c r="E73" s="8">
        <v>1550000</v>
      </c>
      <c r="F73" s="18">
        <f t="shared" si="2"/>
        <v>1462264.1509433961</v>
      </c>
      <c r="G73" s="18">
        <f t="shared" si="3"/>
        <v>87735.849056603765</v>
      </c>
    </row>
    <row r="74" spans="2:7" x14ac:dyDescent="0.25">
      <c r="B74" s="5">
        <v>44773</v>
      </c>
      <c r="C74" s="7">
        <v>11</v>
      </c>
      <c r="D74" s="7" t="s">
        <v>24</v>
      </c>
      <c r="E74" s="8">
        <v>2953580</v>
      </c>
      <c r="F74" s="18">
        <f t="shared" si="2"/>
        <v>2786396.226415094</v>
      </c>
      <c r="G74" s="18">
        <f t="shared" si="3"/>
        <v>167183.77358490563</v>
      </c>
    </row>
    <row r="75" spans="2:7" x14ac:dyDescent="0.25">
      <c r="B75" s="5">
        <v>44773</v>
      </c>
      <c r="C75" s="7">
        <v>12</v>
      </c>
      <c r="D75" s="7" t="s">
        <v>10</v>
      </c>
      <c r="E75" s="8">
        <v>687484</v>
      </c>
      <c r="F75" s="18">
        <f t="shared" si="2"/>
        <v>648569.8113207547</v>
      </c>
      <c r="G75" s="18">
        <f t="shared" si="3"/>
        <v>38914.188679245279</v>
      </c>
    </row>
    <row r="76" spans="2:7" x14ac:dyDescent="0.25">
      <c r="B76" s="5">
        <v>44772</v>
      </c>
      <c r="C76" s="7">
        <v>14</v>
      </c>
      <c r="D76" s="7" t="s">
        <v>35</v>
      </c>
      <c r="E76" s="8">
        <v>254000</v>
      </c>
      <c r="F76" s="18">
        <f t="shared" si="2"/>
        <v>239622.64150943395</v>
      </c>
      <c r="G76" s="18">
        <f t="shared" si="3"/>
        <v>14377.358490566035</v>
      </c>
    </row>
    <row r="77" spans="2:7" x14ac:dyDescent="0.25">
      <c r="B77" s="5">
        <v>44773</v>
      </c>
      <c r="C77" s="7">
        <v>13</v>
      </c>
      <c r="D77" s="7" t="s">
        <v>31</v>
      </c>
      <c r="E77" s="8">
        <v>270000</v>
      </c>
      <c r="F77" s="18">
        <f t="shared" si="2"/>
        <v>254716.98113207545</v>
      </c>
      <c r="G77" s="18">
        <f t="shared" si="3"/>
        <v>15283.018867924526</v>
      </c>
    </row>
    <row r="78" spans="2:7" x14ac:dyDescent="0.25">
      <c r="B78" s="5">
        <v>44773</v>
      </c>
      <c r="C78" s="7">
        <v>9</v>
      </c>
      <c r="D78" s="7" t="s">
        <v>36</v>
      </c>
      <c r="E78" s="8">
        <v>234860</v>
      </c>
      <c r="F78" s="18">
        <f t="shared" si="2"/>
        <v>221566.03773584904</v>
      </c>
      <c r="G78" s="18">
        <f t="shared" si="3"/>
        <v>13293.962264150941</v>
      </c>
    </row>
    <row r="79" spans="2:7" x14ac:dyDescent="0.25">
      <c r="B79" s="5">
        <v>44773</v>
      </c>
      <c r="C79" s="7">
        <v>8</v>
      </c>
      <c r="D79" s="7" t="s">
        <v>26</v>
      </c>
      <c r="E79" s="8">
        <v>1624200</v>
      </c>
      <c r="F79" s="18">
        <f t="shared" si="2"/>
        <v>1532264.1509433961</v>
      </c>
      <c r="G79" s="18">
        <f t="shared" si="3"/>
        <v>91935.849056603765</v>
      </c>
    </row>
    <row r="80" spans="2:7" x14ac:dyDescent="0.25">
      <c r="B80" s="5">
        <v>44772</v>
      </c>
      <c r="C80" s="7">
        <v>17</v>
      </c>
      <c r="D80" s="7" t="s">
        <v>38</v>
      </c>
      <c r="E80" s="8">
        <v>1968000</v>
      </c>
      <c r="F80" s="18">
        <f t="shared" si="2"/>
        <v>1856603.7735849055</v>
      </c>
      <c r="G80" s="18">
        <f t="shared" si="3"/>
        <v>111396.22641509432</v>
      </c>
    </row>
    <row r="81" spans="2:7" x14ac:dyDescent="0.25">
      <c r="B81" s="5">
        <v>44791</v>
      </c>
      <c r="C81" s="7">
        <v>18</v>
      </c>
      <c r="D81" s="7" t="s">
        <v>30</v>
      </c>
      <c r="E81" s="8">
        <v>856000</v>
      </c>
      <c r="F81" s="18">
        <f t="shared" si="2"/>
        <v>807547.16981132072</v>
      </c>
      <c r="G81" s="18">
        <f t="shared" si="3"/>
        <v>48452.83018867924</v>
      </c>
    </row>
    <row r="82" spans="2:7" x14ac:dyDescent="0.25">
      <c r="B82" s="5">
        <v>44804</v>
      </c>
      <c r="C82" s="7">
        <v>19</v>
      </c>
      <c r="D82" s="7" t="s">
        <v>35</v>
      </c>
      <c r="E82" s="8">
        <v>254000</v>
      </c>
      <c r="F82" s="18">
        <f t="shared" si="2"/>
        <v>239622.64150943395</v>
      </c>
      <c r="G82" s="18">
        <f t="shared" si="3"/>
        <v>14377.358490566035</v>
      </c>
    </row>
    <row r="83" spans="2:7" x14ac:dyDescent="0.25">
      <c r="B83" s="5">
        <v>44783</v>
      </c>
      <c r="C83" s="7">
        <v>15</v>
      </c>
      <c r="D83" s="7" t="s">
        <v>30</v>
      </c>
      <c r="E83" s="8">
        <v>779001</v>
      </c>
      <c r="F83" s="18">
        <f t="shared" si="2"/>
        <v>734906.60377358482</v>
      </c>
      <c r="G83" s="18">
        <f t="shared" si="3"/>
        <v>44094.39622641509</v>
      </c>
    </row>
    <row r="84" spans="2:7" x14ac:dyDescent="0.25">
      <c r="B84" s="5">
        <v>44805</v>
      </c>
      <c r="C84" s="7">
        <v>32</v>
      </c>
      <c r="D84" s="7" t="s">
        <v>27</v>
      </c>
      <c r="E84" s="8">
        <v>1550000</v>
      </c>
      <c r="F84" s="18">
        <f t="shared" si="2"/>
        <v>1462264.1509433961</v>
      </c>
      <c r="G84" s="18">
        <f t="shared" si="3"/>
        <v>87735.849056603765</v>
      </c>
    </row>
    <row r="85" spans="2:7" x14ac:dyDescent="0.25">
      <c r="B85" s="5">
        <v>44805</v>
      </c>
      <c r="C85" s="7">
        <v>23</v>
      </c>
      <c r="D85" s="7" t="s">
        <v>21</v>
      </c>
      <c r="E85" s="8">
        <v>3544450</v>
      </c>
      <c r="F85" s="18">
        <f t="shared" si="2"/>
        <v>3343820.7547169807</v>
      </c>
      <c r="G85" s="18">
        <f t="shared" si="3"/>
        <v>200629.24528301883</v>
      </c>
    </row>
    <row r="86" spans="2:7" x14ac:dyDescent="0.25">
      <c r="B86" s="5">
        <v>44805</v>
      </c>
      <c r="C86" s="7">
        <v>22</v>
      </c>
      <c r="D86" s="7" t="s">
        <v>38</v>
      </c>
      <c r="E86" s="8">
        <v>1968000</v>
      </c>
      <c r="F86" s="18">
        <f t="shared" si="2"/>
        <v>1856603.7735849055</v>
      </c>
      <c r="G86" s="18">
        <f t="shared" si="3"/>
        <v>111396.22641509432</v>
      </c>
    </row>
    <row r="87" spans="2:7" x14ac:dyDescent="0.25">
      <c r="B87" s="5">
        <v>44805</v>
      </c>
      <c r="C87" s="7">
        <v>25</v>
      </c>
      <c r="D87" s="7" t="s">
        <v>21</v>
      </c>
      <c r="E87" s="8">
        <v>1336545</v>
      </c>
      <c r="F87" s="18">
        <f t="shared" si="2"/>
        <v>1260891.5094339622</v>
      </c>
      <c r="G87" s="18">
        <f t="shared" si="3"/>
        <v>75653.490566037726</v>
      </c>
    </row>
    <row r="88" spans="2:7" x14ac:dyDescent="0.25">
      <c r="B88" s="5">
        <v>44805</v>
      </c>
      <c r="C88" s="7">
        <v>26</v>
      </c>
      <c r="D88" s="7" t="s">
        <v>21</v>
      </c>
      <c r="E88" s="8">
        <v>2063100</v>
      </c>
      <c r="F88" s="18">
        <f t="shared" si="2"/>
        <v>1946320.754716981</v>
      </c>
      <c r="G88" s="18">
        <f t="shared" si="3"/>
        <v>116779.24528301886</v>
      </c>
    </row>
    <row r="89" spans="2:7" x14ac:dyDescent="0.25">
      <c r="B89" s="5">
        <v>44805</v>
      </c>
      <c r="C89" s="7">
        <v>27</v>
      </c>
      <c r="D89" s="7" t="s">
        <v>21</v>
      </c>
      <c r="E89" s="8">
        <v>734800</v>
      </c>
      <c r="F89" s="18">
        <f t="shared" si="2"/>
        <v>693207.54716981133</v>
      </c>
      <c r="G89" s="18">
        <f t="shared" si="3"/>
        <v>41592.452830188675</v>
      </c>
    </row>
    <row r="90" spans="2:7" x14ac:dyDescent="0.25">
      <c r="B90" s="5">
        <v>44805</v>
      </c>
      <c r="C90" s="7">
        <v>28</v>
      </c>
      <c r="D90" s="7" t="s">
        <v>21</v>
      </c>
      <c r="E90" s="8">
        <v>7930393</v>
      </c>
      <c r="F90" s="18">
        <f t="shared" si="2"/>
        <v>7481502.8301886786</v>
      </c>
      <c r="G90" s="18">
        <f t="shared" si="3"/>
        <v>448890.16981132072</v>
      </c>
    </row>
    <row r="91" spans="2:7" x14ac:dyDescent="0.25">
      <c r="B91" s="5">
        <v>44805</v>
      </c>
      <c r="C91" s="7">
        <v>29</v>
      </c>
      <c r="D91" s="7" t="s">
        <v>31</v>
      </c>
      <c r="E91" s="8">
        <v>270000</v>
      </c>
      <c r="F91" s="18">
        <f t="shared" si="2"/>
        <v>254716.98113207545</v>
      </c>
      <c r="G91" s="18">
        <f t="shared" si="3"/>
        <v>15283.018867924526</v>
      </c>
    </row>
    <row r="92" spans="2:7" x14ac:dyDescent="0.25">
      <c r="B92" s="5">
        <v>44823</v>
      </c>
      <c r="C92" s="7">
        <v>37</v>
      </c>
      <c r="D92" s="7" t="s">
        <v>30</v>
      </c>
      <c r="E92" s="8">
        <v>950371</v>
      </c>
      <c r="F92" s="18">
        <f t="shared" si="2"/>
        <v>896576.41509433952</v>
      </c>
      <c r="G92" s="18">
        <f t="shared" si="3"/>
        <v>53794.584905660369</v>
      </c>
    </row>
    <row r="93" spans="2:7" x14ac:dyDescent="0.25">
      <c r="B93" s="5">
        <v>44805</v>
      </c>
      <c r="C93" s="7">
        <v>31</v>
      </c>
      <c r="D93" s="7" t="s">
        <v>33</v>
      </c>
      <c r="E93" s="8">
        <v>5476550</v>
      </c>
      <c r="F93" s="18">
        <f t="shared" si="2"/>
        <v>5166556.6037735846</v>
      </c>
      <c r="G93" s="18">
        <f t="shared" si="3"/>
        <v>309993.39622641506</v>
      </c>
    </row>
    <row r="94" spans="2:7" x14ac:dyDescent="0.25">
      <c r="B94" s="5">
        <v>44832</v>
      </c>
      <c r="C94" s="7">
        <v>39</v>
      </c>
      <c r="D94" s="7" t="s">
        <v>24</v>
      </c>
      <c r="E94" s="8">
        <v>3681925</v>
      </c>
      <c r="F94" s="18">
        <f t="shared" si="2"/>
        <v>3473514.1509433961</v>
      </c>
      <c r="G94" s="18">
        <f t="shared" si="3"/>
        <v>208410.84905660377</v>
      </c>
    </row>
    <row r="95" spans="2:7" x14ac:dyDescent="0.25">
      <c r="B95" s="5">
        <v>44832</v>
      </c>
      <c r="C95" s="7">
        <v>40</v>
      </c>
      <c r="D95" s="7" t="s">
        <v>24</v>
      </c>
      <c r="E95" s="8">
        <v>1800000</v>
      </c>
      <c r="F95" s="18">
        <f t="shared" si="2"/>
        <v>1698113.2075471696</v>
      </c>
      <c r="G95" s="18">
        <f t="shared" si="3"/>
        <v>101886.79245283018</v>
      </c>
    </row>
    <row r="96" spans="2:7" x14ac:dyDescent="0.25">
      <c r="B96" s="5">
        <v>44805</v>
      </c>
      <c r="C96" s="7">
        <v>34</v>
      </c>
      <c r="D96" s="7" t="s">
        <v>10</v>
      </c>
      <c r="E96" s="8">
        <v>1075511</v>
      </c>
      <c r="F96" s="18">
        <f t="shared" si="2"/>
        <v>1014633.0188679245</v>
      </c>
      <c r="G96" s="18">
        <f t="shared" si="3"/>
        <v>60877.981132075467</v>
      </c>
    </row>
    <row r="97" spans="2:7" x14ac:dyDescent="0.25">
      <c r="B97" s="5">
        <v>44809</v>
      </c>
      <c r="C97" s="7">
        <v>33</v>
      </c>
      <c r="D97" s="7" t="s">
        <v>24</v>
      </c>
      <c r="E97" s="8">
        <v>3560157</v>
      </c>
      <c r="F97" s="18">
        <f t="shared" si="2"/>
        <v>3358638.6792452829</v>
      </c>
      <c r="G97" s="18">
        <f t="shared" si="3"/>
        <v>201518.32075471696</v>
      </c>
    </row>
    <row r="98" spans="2:7" x14ac:dyDescent="0.25">
      <c r="B98" s="5">
        <v>44805</v>
      </c>
      <c r="C98" s="7">
        <v>5</v>
      </c>
      <c r="D98" s="7" t="s">
        <v>33</v>
      </c>
      <c r="E98" s="8">
        <v>5476550</v>
      </c>
      <c r="F98" s="18">
        <f t="shared" si="2"/>
        <v>5166556.6037735846</v>
      </c>
      <c r="G98" s="18">
        <f t="shared" si="3"/>
        <v>309993.39622641506</v>
      </c>
    </row>
    <row r="99" spans="2:7" x14ac:dyDescent="0.25">
      <c r="B99" s="5">
        <v>44805</v>
      </c>
      <c r="C99" s="7">
        <v>41</v>
      </c>
      <c r="D99" s="7" t="s">
        <v>26</v>
      </c>
      <c r="E99" s="8">
        <v>3222660</v>
      </c>
      <c r="F99" s="18">
        <f t="shared" si="2"/>
        <v>3040245.283018868</v>
      </c>
      <c r="G99" s="18">
        <f t="shared" si="3"/>
        <v>182414.71698113208</v>
      </c>
    </row>
    <row r="100" spans="2:7" x14ac:dyDescent="0.25">
      <c r="B100" s="5">
        <v>44833</v>
      </c>
      <c r="C100" s="7">
        <v>42</v>
      </c>
      <c r="D100" s="7" t="s">
        <v>26</v>
      </c>
      <c r="E100" s="8">
        <v>3191240</v>
      </c>
      <c r="F100" s="18">
        <f t="shared" si="2"/>
        <v>3010603.7735849055</v>
      </c>
      <c r="G100" s="18">
        <f t="shared" si="3"/>
        <v>180636.22641509434</v>
      </c>
    </row>
    <row r="101" spans="2:7" x14ac:dyDescent="0.25">
      <c r="B101" s="5">
        <v>44805</v>
      </c>
      <c r="C101" s="7">
        <v>20</v>
      </c>
      <c r="D101" s="7" t="s">
        <v>26</v>
      </c>
      <c r="E101" s="8">
        <v>3332660</v>
      </c>
      <c r="F101" s="18">
        <f t="shared" si="2"/>
        <v>3144018.8679245282</v>
      </c>
      <c r="G101" s="18">
        <f t="shared" si="3"/>
        <v>188641.13207547169</v>
      </c>
    </row>
    <row r="102" spans="2:7" x14ac:dyDescent="0.25">
      <c r="B102" s="5">
        <v>44832</v>
      </c>
      <c r="C102" s="7">
        <v>45</v>
      </c>
      <c r="D102" s="7" t="s">
        <v>27</v>
      </c>
      <c r="E102" s="8">
        <v>1325000</v>
      </c>
      <c r="F102" s="18">
        <f t="shared" si="2"/>
        <v>1250000</v>
      </c>
      <c r="G102" s="18">
        <f t="shared" si="3"/>
        <v>75000</v>
      </c>
    </row>
    <row r="103" spans="2:7" x14ac:dyDescent="0.25">
      <c r="B103" s="5">
        <v>44823</v>
      </c>
      <c r="C103" s="7">
        <v>55</v>
      </c>
      <c r="D103" s="7" t="s">
        <v>30</v>
      </c>
      <c r="E103" s="8">
        <v>601935</v>
      </c>
      <c r="F103" s="18">
        <f t="shared" si="2"/>
        <v>567863.20754716976</v>
      </c>
      <c r="G103" s="18">
        <f t="shared" si="3"/>
        <v>34071.792452830181</v>
      </c>
    </row>
    <row r="104" spans="2:7" x14ac:dyDescent="0.25">
      <c r="B104" s="5">
        <v>44841</v>
      </c>
      <c r="C104" s="7">
        <v>49</v>
      </c>
      <c r="D104" s="7" t="s">
        <v>21</v>
      </c>
      <c r="E104" s="8">
        <v>1973400</v>
      </c>
      <c r="F104" s="18">
        <f t="shared" si="2"/>
        <v>1861698.113207547</v>
      </c>
      <c r="G104" s="18">
        <f t="shared" si="3"/>
        <v>111701.88679245282</v>
      </c>
    </row>
    <row r="105" spans="2:7" x14ac:dyDescent="0.25">
      <c r="B105" s="5">
        <v>44841</v>
      </c>
      <c r="C105" s="7">
        <v>51</v>
      </c>
      <c r="D105" s="7" t="s">
        <v>39</v>
      </c>
      <c r="E105" s="21">
        <v>1352800</v>
      </c>
      <c r="F105" s="18">
        <f t="shared" si="2"/>
        <v>1276226.4150943395</v>
      </c>
      <c r="G105" s="18">
        <f t="shared" si="3"/>
        <v>76573.584905660362</v>
      </c>
    </row>
    <row r="106" spans="2:7" x14ac:dyDescent="0.25">
      <c r="B106" s="5">
        <v>44841</v>
      </c>
      <c r="C106" s="7">
        <v>50</v>
      </c>
      <c r="D106" s="7" t="s">
        <v>21</v>
      </c>
      <c r="E106" s="8">
        <v>3056262</v>
      </c>
      <c r="F106" s="18">
        <f t="shared" si="2"/>
        <v>2883266.0377358487</v>
      </c>
      <c r="G106" s="18">
        <f t="shared" si="3"/>
        <v>172995.9622641509</v>
      </c>
    </row>
    <row r="107" spans="2:7" x14ac:dyDescent="0.25">
      <c r="B107" s="5">
        <v>44838</v>
      </c>
      <c r="C107" s="7">
        <v>44</v>
      </c>
      <c r="D107" s="7" t="s">
        <v>38</v>
      </c>
      <c r="E107" s="8">
        <v>1968000</v>
      </c>
      <c r="F107" s="18">
        <f t="shared" si="2"/>
        <v>1856603.7735849055</v>
      </c>
      <c r="G107" s="18">
        <f t="shared" si="3"/>
        <v>111396.22641509432</v>
      </c>
    </row>
    <row r="108" spans="2:7" x14ac:dyDescent="0.25">
      <c r="B108" s="5">
        <v>44862</v>
      </c>
      <c r="C108" s="7">
        <v>62</v>
      </c>
      <c r="D108" s="7" t="s">
        <v>21</v>
      </c>
      <c r="E108" s="8">
        <v>1883700</v>
      </c>
      <c r="F108" s="18">
        <f t="shared" si="2"/>
        <v>1777075.471698113</v>
      </c>
      <c r="G108" s="18">
        <f t="shared" si="3"/>
        <v>106624.52830188678</v>
      </c>
    </row>
    <row r="109" spans="2:7" x14ac:dyDescent="0.25">
      <c r="B109" s="5">
        <v>44862</v>
      </c>
      <c r="C109" s="7">
        <v>60</v>
      </c>
      <c r="D109" s="7" t="s">
        <v>26</v>
      </c>
      <c r="E109" s="8">
        <v>3069820</v>
      </c>
      <c r="F109" s="18">
        <f t="shared" si="2"/>
        <v>2896056.6037735846</v>
      </c>
      <c r="G109" s="18">
        <f t="shared" si="3"/>
        <v>173763.39622641506</v>
      </c>
    </row>
    <row r="110" spans="2:7" x14ac:dyDescent="0.25">
      <c r="B110" s="5">
        <v>44865</v>
      </c>
      <c r="C110" s="7">
        <v>61</v>
      </c>
      <c r="D110" s="7" t="s">
        <v>33</v>
      </c>
      <c r="E110" s="8">
        <v>4682193</v>
      </c>
      <c r="F110" s="18">
        <f t="shared" si="2"/>
        <v>4417163.2075471692</v>
      </c>
      <c r="G110" s="18">
        <f t="shared" si="3"/>
        <v>265029.79245283012</v>
      </c>
    </row>
    <row r="111" spans="2:7" x14ac:dyDescent="0.25">
      <c r="B111" s="5">
        <v>44805</v>
      </c>
      <c r="C111" s="7">
        <v>59</v>
      </c>
      <c r="D111" s="7" t="s">
        <v>33</v>
      </c>
      <c r="E111" s="8">
        <v>5476550</v>
      </c>
      <c r="F111" s="18">
        <f t="shared" si="2"/>
        <v>5166556.6037735846</v>
      </c>
      <c r="G111" s="18">
        <f t="shared" si="3"/>
        <v>309993.39622641506</v>
      </c>
    </row>
    <row r="112" spans="2:7" x14ac:dyDescent="0.25">
      <c r="B112" s="5">
        <v>44862</v>
      </c>
      <c r="C112" s="7">
        <v>64</v>
      </c>
      <c r="D112" s="7" t="s">
        <v>21</v>
      </c>
      <c r="E112" s="8">
        <v>3177262</v>
      </c>
      <c r="F112" s="18">
        <f t="shared" si="2"/>
        <v>2997416.9811320752</v>
      </c>
      <c r="G112" s="18">
        <f t="shared" si="3"/>
        <v>179845.01886792452</v>
      </c>
    </row>
    <row r="113" spans="2:7" x14ac:dyDescent="0.25">
      <c r="B113" s="5">
        <v>44862</v>
      </c>
      <c r="C113" s="7">
        <v>65</v>
      </c>
      <c r="D113" s="7" t="s">
        <v>24</v>
      </c>
      <c r="E113" s="8">
        <v>3902044</v>
      </c>
      <c r="F113" s="18">
        <f t="shared" si="2"/>
        <v>3681173.5849056602</v>
      </c>
      <c r="G113" s="18">
        <f t="shared" si="3"/>
        <v>220870.41509433961</v>
      </c>
    </row>
    <row r="114" spans="2:7" x14ac:dyDescent="0.25">
      <c r="B114" s="5">
        <v>44862</v>
      </c>
      <c r="C114" s="7">
        <v>63</v>
      </c>
      <c r="D114" s="7" t="s">
        <v>21</v>
      </c>
      <c r="E114" s="8">
        <v>1338029</v>
      </c>
      <c r="F114" s="18">
        <f t="shared" si="2"/>
        <v>1262291.5094339622</v>
      </c>
      <c r="G114" s="18">
        <f t="shared" si="3"/>
        <v>75737.490566037726</v>
      </c>
    </row>
    <row r="115" spans="2:7" x14ac:dyDescent="0.25">
      <c r="B115" s="5">
        <v>44831</v>
      </c>
      <c r="C115" s="7">
        <v>57</v>
      </c>
      <c r="D115" s="7" t="s">
        <v>33</v>
      </c>
      <c r="E115" s="8">
        <v>1289919</v>
      </c>
      <c r="F115" s="18">
        <f t="shared" si="2"/>
        <v>1216904.716981132</v>
      </c>
      <c r="G115" s="18">
        <f t="shared" si="3"/>
        <v>73014.283018867922</v>
      </c>
    </row>
    <row r="116" spans="2:7" x14ac:dyDescent="0.25">
      <c r="B116" s="5">
        <v>44847</v>
      </c>
      <c r="C116" s="7">
        <v>58</v>
      </c>
      <c r="D116" s="7" t="s">
        <v>36</v>
      </c>
      <c r="E116" s="8">
        <v>500000</v>
      </c>
      <c r="F116" s="18">
        <f t="shared" si="2"/>
        <v>471698.11320754717</v>
      </c>
      <c r="G116" s="18">
        <f t="shared" si="3"/>
        <v>28301.886792452828</v>
      </c>
    </row>
    <row r="117" spans="2:7" x14ac:dyDescent="0.25">
      <c r="B117" s="5">
        <v>44841</v>
      </c>
      <c r="C117" s="7">
        <v>48</v>
      </c>
      <c r="D117" s="7" t="s">
        <v>21</v>
      </c>
      <c r="E117" s="8">
        <v>989541</v>
      </c>
      <c r="F117" s="18">
        <f t="shared" si="2"/>
        <v>933529.2452830188</v>
      </c>
      <c r="G117" s="18">
        <f t="shared" si="3"/>
        <v>56011.754716981122</v>
      </c>
    </row>
    <row r="118" spans="2:7" x14ac:dyDescent="0.25">
      <c r="B118" s="5">
        <v>44841</v>
      </c>
      <c r="C118" s="7">
        <v>52</v>
      </c>
      <c r="D118" s="7" t="s">
        <v>33</v>
      </c>
      <c r="E118" s="8">
        <v>6557695</v>
      </c>
      <c r="F118" s="18">
        <f t="shared" si="2"/>
        <v>6186504.7169811316</v>
      </c>
      <c r="G118" s="18">
        <f t="shared" si="3"/>
        <v>371190.28301886789</v>
      </c>
    </row>
    <row r="119" spans="2:7" x14ac:dyDescent="0.25">
      <c r="B119" s="5">
        <v>44851</v>
      </c>
      <c r="C119" s="7">
        <v>54</v>
      </c>
      <c r="D119" s="7" t="s">
        <v>30</v>
      </c>
      <c r="E119" s="8">
        <v>994640</v>
      </c>
      <c r="F119" s="18">
        <f t="shared" si="2"/>
        <v>938339.6226415094</v>
      </c>
      <c r="G119" s="18">
        <f t="shared" si="3"/>
        <v>56300.377358490565</v>
      </c>
    </row>
    <row r="120" spans="2:7" x14ac:dyDescent="0.25">
      <c r="B120" s="5">
        <v>44838</v>
      </c>
      <c r="C120" s="7">
        <v>56</v>
      </c>
      <c r="D120" s="7" t="s">
        <v>10</v>
      </c>
      <c r="E120" s="8">
        <v>2435461</v>
      </c>
      <c r="F120" s="18">
        <f t="shared" si="2"/>
        <v>2297604.716981132</v>
      </c>
      <c r="G120" s="18">
        <f t="shared" si="3"/>
        <v>137856.28301886792</v>
      </c>
    </row>
    <row r="121" spans="2:7" x14ac:dyDescent="0.25">
      <c r="B121" s="5">
        <v>44837</v>
      </c>
      <c r="C121" s="7">
        <v>43</v>
      </c>
      <c r="D121" s="7" t="s">
        <v>10</v>
      </c>
      <c r="E121" s="8">
        <v>150000</v>
      </c>
      <c r="F121" s="18">
        <f t="shared" si="2"/>
        <v>141509.43396226416</v>
      </c>
      <c r="G121" s="18">
        <f t="shared" si="3"/>
        <v>8490.566037735849</v>
      </c>
    </row>
    <row r="122" spans="2:7" x14ac:dyDescent="0.25">
      <c r="B122" s="5">
        <v>44841</v>
      </c>
      <c r="C122" s="7">
        <v>46</v>
      </c>
      <c r="D122" s="7" t="s">
        <v>31</v>
      </c>
      <c r="E122" s="8">
        <v>270000</v>
      </c>
      <c r="F122" s="18">
        <f t="shared" si="2"/>
        <v>254716.98113207545</v>
      </c>
      <c r="G122" s="18">
        <f t="shared" si="3"/>
        <v>15283.018867924526</v>
      </c>
    </row>
    <row r="123" spans="2:7" x14ac:dyDescent="0.25">
      <c r="B123" s="5">
        <v>44841</v>
      </c>
      <c r="C123" s="7">
        <v>47</v>
      </c>
      <c r="D123" s="7" t="s">
        <v>35</v>
      </c>
      <c r="E123" s="8">
        <v>254000</v>
      </c>
      <c r="F123" s="18">
        <f t="shared" si="2"/>
        <v>239622.64150943395</v>
      </c>
      <c r="G123" s="18">
        <f t="shared" si="3"/>
        <v>14377.358490566035</v>
      </c>
    </row>
    <row r="124" spans="2:7" x14ac:dyDescent="0.25">
      <c r="B124" s="5">
        <v>44869</v>
      </c>
      <c r="C124" s="7">
        <v>71</v>
      </c>
      <c r="D124" s="7" t="s">
        <v>36</v>
      </c>
      <c r="E124" s="8">
        <v>510000</v>
      </c>
      <c r="F124" s="18">
        <f t="shared" si="2"/>
        <v>481132.07547169807</v>
      </c>
      <c r="G124" s="18">
        <f t="shared" si="3"/>
        <v>28867.924528301883</v>
      </c>
    </row>
    <row r="125" spans="2:7" x14ac:dyDescent="0.25">
      <c r="B125" s="5">
        <v>44875</v>
      </c>
      <c r="C125" s="7">
        <v>72</v>
      </c>
      <c r="D125" s="7" t="s">
        <v>26</v>
      </c>
      <c r="E125" s="8">
        <v>3222660</v>
      </c>
      <c r="F125" s="18">
        <f t="shared" si="2"/>
        <v>3040245.283018868</v>
      </c>
      <c r="G125" s="18">
        <f t="shared" si="3"/>
        <v>182414.71698113208</v>
      </c>
    </row>
    <row r="126" spans="2:7" x14ac:dyDescent="0.25">
      <c r="B126" s="5">
        <v>44894</v>
      </c>
      <c r="C126" s="7">
        <v>75</v>
      </c>
      <c r="D126" s="7" t="s">
        <v>31</v>
      </c>
      <c r="E126" s="8">
        <v>270000</v>
      </c>
      <c r="F126" s="18">
        <f t="shared" si="2"/>
        <v>254716.98113207545</v>
      </c>
      <c r="G126" s="18">
        <f t="shared" si="3"/>
        <v>15283.018867924526</v>
      </c>
    </row>
    <row r="127" spans="2:7" x14ac:dyDescent="0.25">
      <c r="B127" s="5">
        <v>44868</v>
      </c>
      <c r="C127" s="7">
        <v>66</v>
      </c>
      <c r="D127" s="7" t="s">
        <v>31</v>
      </c>
      <c r="E127" s="8">
        <v>270000</v>
      </c>
      <c r="F127" s="18">
        <f t="shared" si="2"/>
        <v>254716.98113207545</v>
      </c>
      <c r="G127" s="18">
        <f t="shared" si="3"/>
        <v>15283.018867924526</v>
      </c>
    </row>
    <row r="128" spans="2:7" x14ac:dyDescent="0.25">
      <c r="B128" s="5">
        <v>44868</v>
      </c>
      <c r="C128" s="7">
        <v>67</v>
      </c>
      <c r="D128" s="7" t="s">
        <v>35</v>
      </c>
      <c r="E128" s="8">
        <v>254000</v>
      </c>
      <c r="F128" s="18">
        <f t="shared" si="2"/>
        <v>239622.64150943395</v>
      </c>
      <c r="G128" s="18">
        <f t="shared" si="3"/>
        <v>14377.358490566035</v>
      </c>
    </row>
    <row r="129" spans="2:7" x14ac:dyDescent="0.25">
      <c r="B129" s="5">
        <v>44868</v>
      </c>
      <c r="C129" s="7">
        <v>68</v>
      </c>
      <c r="D129" s="7" t="s">
        <v>27</v>
      </c>
      <c r="E129" s="8">
        <v>800000</v>
      </c>
      <c r="F129" s="18">
        <f t="shared" si="2"/>
        <v>754716.98113207542</v>
      </c>
      <c r="G129" s="18">
        <f t="shared" si="3"/>
        <v>45283.018867924526</v>
      </c>
    </row>
    <row r="130" spans="2:7" x14ac:dyDescent="0.25">
      <c r="B130" s="5">
        <v>44868</v>
      </c>
      <c r="C130" s="7">
        <v>70</v>
      </c>
      <c r="D130" s="7" t="s">
        <v>39</v>
      </c>
      <c r="E130" s="21">
        <v>2364201</v>
      </c>
      <c r="F130" s="18">
        <f t="shared" si="2"/>
        <v>2230378.3018867923</v>
      </c>
      <c r="G130" s="18">
        <f t="shared" si="3"/>
        <v>133822.69811320753</v>
      </c>
    </row>
    <row r="131" spans="2:7" x14ac:dyDescent="0.25">
      <c r="B131" s="5">
        <v>44868</v>
      </c>
      <c r="C131" s="7">
        <v>69</v>
      </c>
      <c r="D131" s="7" t="s">
        <v>38</v>
      </c>
      <c r="E131" s="8">
        <v>1968000</v>
      </c>
      <c r="F131" s="18">
        <f t="shared" si="2"/>
        <v>1856603.7735849055</v>
      </c>
      <c r="G131" s="18">
        <f t="shared" si="3"/>
        <v>111396.22641509432</v>
      </c>
    </row>
    <row r="132" spans="2:7" x14ac:dyDescent="0.25">
      <c r="B132" s="5">
        <v>44899</v>
      </c>
      <c r="C132" s="7">
        <v>72</v>
      </c>
      <c r="D132" s="7" t="s">
        <v>36</v>
      </c>
      <c r="E132" s="8">
        <v>510000</v>
      </c>
      <c r="F132" s="18">
        <f t="shared" si="2"/>
        <v>481132.07547169807</v>
      </c>
      <c r="G132" s="18">
        <f t="shared" si="3"/>
        <v>28867.924528301883</v>
      </c>
    </row>
    <row r="133" spans="2:7" x14ac:dyDescent="0.25">
      <c r="B133" s="5">
        <v>44899</v>
      </c>
      <c r="C133" s="7">
        <v>83</v>
      </c>
      <c r="D133" s="7" t="s">
        <v>33</v>
      </c>
      <c r="E133" s="8">
        <v>4238493</v>
      </c>
      <c r="F133" s="18">
        <f t="shared" si="2"/>
        <v>3998578.3018867923</v>
      </c>
      <c r="G133" s="18">
        <f t="shared" si="3"/>
        <v>239914.69811320753</v>
      </c>
    </row>
    <row r="134" spans="2:7" x14ac:dyDescent="0.25">
      <c r="B134" s="5">
        <v>44899</v>
      </c>
      <c r="C134" s="7">
        <v>79</v>
      </c>
      <c r="D134" s="7" t="s">
        <v>38</v>
      </c>
      <c r="E134" s="8">
        <v>1968000</v>
      </c>
      <c r="F134" s="18">
        <f t="shared" ref="F134:F145" si="4">+E134/1.06</f>
        <v>1856603.7735849055</v>
      </c>
      <c r="G134" s="18">
        <f t="shared" ref="G134:G146" si="5">+F134*6%</f>
        <v>111396.22641509432</v>
      </c>
    </row>
    <row r="135" spans="2:7" x14ac:dyDescent="0.25">
      <c r="B135" s="5">
        <v>44894</v>
      </c>
      <c r="C135" s="7">
        <v>74</v>
      </c>
      <c r="D135" s="7" t="s">
        <v>30</v>
      </c>
      <c r="E135" s="8">
        <v>1000000</v>
      </c>
      <c r="F135" s="18">
        <f t="shared" si="4"/>
        <v>943396.22641509434</v>
      </c>
      <c r="G135" s="18">
        <f t="shared" si="5"/>
        <v>56603.773584905655</v>
      </c>
    </row>
    <row r="136" spans="2:7" x14ac:dyDescent="0.25">
      <c r="B136" s="5">
        <v>44894</v>
      </c>
      <c r="C136" s="7">
        <v>73</v>
      </c>
      <c r="D136" s="7" t="s">
        <v>30</v>
      </c>
      <c r="E136" s="8">
        <v>1083571</v>
      </c>
      <c r="F136" s="18">
        <f t="shared" si="4"/>
        <v>1022236.7924528301</v>
      </c>
      <c r="G136" s="18">
        <f t="shared" si="5"/>
        <v>61334.207547169804</v>
      </c>
    </row>
    <row r="137" spans="2:7" x14ac:dyDescent="0.25">
      <c r="B137" s="5">
        <v>44896</v>
      </c>
      <c r="C137" s="7">
        <v>77</v>
      </c>
      <c r="D137" s="7" t="s">
        <v>26</v>
      </c>
      <c r="E137" s="8">
        <v>3191240</v>
      </c>
      <c r="F137" s="18">
        <f t="shared" si="4"/>
        <v>3010603.7735849055</v>
      </c>
      <c r="G137" s="18">
        <f t="shared" si="5"/>
        <v>180636.22641509434</v>
      </c>
    </row>
    <row r="138" spans="2:7" x14ac:dyDescent="0.25">
      <c r="B138" s="5">
        <v>44899</v>
      </c>
      <c r="C138" s="7">
        <v>85</v>
      </c>
      <c r="D138" s="7" t="s">
        <v>21</v>
      </c>
      <c r="E138" s="8">
        <v>3289982</v>
      </c>
      <c r="F138" s="18">
        <f t="shared" si="4"/>
        <v>3103756.6037735846</v>
      </c>
      <c r="G138" s="18">
        <f t="shared" si="5"/>
        <v>186225.39622641506</v>
      </c>
    </row>
    <row r="139" spans="2:7" x14ac:dyDescent="0.25">
      <c r="B139" s="5">
        <v>44899</v>
      </c>
      <c r="C139" s="7">
        <v>86</v>
      </c>
      <c r="D139" s="7" t="s">
        <v>21</v>
      </c>
      <c r="E139" s="8">
        <v>1973400</v>
      </c>
      <c r="F139" s="18">
        <f t="shared" si="4"/>
        <v>1861698.113207547</v>
      </c>
      <c r="G139" s="18">
        <f t="shared" si="5"/>
        <v>111701.88679245282</v>
      </c>
    </row>
    <row r="140" spans="2:7" x14ac:dyDescent="0.25">
      <c r="B140" s="5">
        <v>44899</v>
      </c>
      <c r="C140" s="7">
        <v>84</v>
      </c>
      <c r="D140" s="7" t="s">
        <v>24</v>
      </c>
      <c r="E140" s="8">
        <v>3829120</v>
      </c>
      <c r="F140" s="18">
        <f t="shared" si="4"/>
        <v>3612377.3584905658</v>
      </c>
      <c r="G140" s="18">
        <f t="shared" si="5"/>
        <v>216742.64150943395</v>
      </c>
    </row>
    <row r="141" spans="2:7" x14ac:dyDescent="0.25">
      <c r="B141" s="5">
        <v>44899</v>
      </c>
      <c r="C141" s="7">
        <v>82</v>
      </c>
      <c r="D141" s="7" t="s">
        <v>40</v>
      </c>
      <c r="E141" s="8">
        <v>195000</v>
      </c>
      <c r="F141" s="18">
        <f t="shared" si="4"/>
        <v>183962.26415094337</v>
      </c>
      <c r="G141" s="18">
        <f t="shared" si="5"/>
        <v>11037.735849056602</v>
      </c>
    </row>
    <row r="142" spans="2:7" x14ac:dyDescent="0.25">
      <c r="B142" s="5">
        <v>44899</v>
      </c>
      <c r="C142" s="7">
        <v>80</v>
      </c>
      <c r="D142" s="7" t="s">
        <v>27</v>
      </c>
      <c r="E142" s="8">
        <v>800000</v>
      </c>
      <c r="F142" s="18">
        <f t="shared" si="4"/>
        <v>754716.98113207542</v>
      </c>
      <c r="G142" s="18">
        <f t="shared" si="5"/>
        <v>45283.018867924526</v>
      </c>
    </row>
    <row r="143" spans="2:7" x14ac:dyDescent="0.25">
      <c r="B143" s="5">
        <v>44894</v>
      </c>
      <c r="C143" s="7">
        <v>76</v>
      </c>
      <c r="D143" s="7" t="s">
        <v>41</v>
      </c>
      <c r="E143" s="8">
        <v>210000</v>
      </c>
      <c r="F143" s="18">
        <f t="shared" si="4"/>
        <v>198113.20754716979</v>
      </c>
      <c r="G143" s="18">
        <f t="shared" si="5"/>
        <v>11886.792452830186</v>
      </c>
    </row>
    <row r="144" spans="2:7" x14ac:dyDescent="0.25">
      <c r="B144" s="5">
        <v>44899</v>
      </c>
      <c r="C144" s="7">
        <v>81</v>
      </c>
      <c r="D144" s="7" t="s">
        <v>35</v>
      </c>
      <c r="E144" s="8">
        <v>254000</v>
      </c>
      <c r="F144" s="18">
        <f t="shared" si="4"/>
        <v>239622.64150943395</v>
      </c>
      <c r="G144" s="18">
        <f t="shared" si="5"/>
        <v>14377.358490566035</v>
      </c>
    </row>
    <row r="145" spans="2:7" x14ac:dyDescent="0.25">
      <c r="B145" s="5">
        <v>44899</v>
      </c>
      <c r="C145" s="7">
        <v>98</v>
      </c>
      <c r="D145" s="7" t="s">
        <v>39</v>
      </c>
      <c r="E145" s="21">
        <v>2632335</v>
      </c>
      <c r="F145" s="18">
        <f t="shared" si="4"/>
        <v>2483334.9056603773</v>
      </c>
      <c r="G145" s="18">
        <f t="shared" si="5"/>
        <v>149000.09433962262</v>
      </c>
    </row>
    <row r="146" spans="2:7" x14ac:dyDescent="0.25">
      <c r="B146" s="7"/>
      <c r="C146" s="7"/>
      <c r="D146" s="2" t="s">
        <v>15</v>
      </c>
      <c r="E146" s="32">
        <f>SUM(E5:E145)</f>
        <v>300864619</v>
      </c>
      <c r="F146" s="33">
        <f>SUM(F5:F145)</f>
        <v>283834546.22641522</v>
      </c>
      <c r="G146" s="33">
        <f t="shared" si="5"/>
        <v>17030072.773584913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3585-B984-43AD-8380-E0333AA6E245}">
  <dimension ref="A3:G406"/>
  <sheetViews>
    <sheetView tabSelected="1" topLeftCell="A138" workbookViewId="0">
      <selection activeCell="K171" sqref="K171"/>
    </sheetView>
  </sheetViews>
  <sheetFormatPr baseColWidth="10" defaultRowHeight="15" x14ac:dyDescent="0.25"/>
  <cols>
    <col min="1" max="1" width="9" customWidth="1"/>
    <col min="2" max="3" width="15.7109375" customWidth="1"/>
    <col min="4" max="4" width="36.7109375" customWidth="1"/>
    <col min="5" max="5" width="22.5703125" customWidth="1"/>
    <col min="6" max="6" width="14.7109375" customWidth="1"/>
    <col min="7" max="7" width="17.140625" customWidth="1"/>
  </cols>
  <sheetData>
    <row r="3" spans="2:7" ht="18.75" x14ac:dyDescent="0.3">
      <c r="D3" s="22" t="s">
        <v>42</v>
      </c>
    </row>
    <row r="6" spans="2:7" x14ac:dyDescent="0.25">
      <c r="B6" s="7" t="s">
        <v>17</v>
      </c>
      <c r="C6" s="37" t="s">
        <v>2</v>
      </c>
      <c r="D6" s="7" t="s">
        <v>3</v>
      </c>
      <c r="E6" s="7" t="s">
        <v>72</v>
      </c>
      <c r="F6" s="7" t="s">
        <v>19</v>
      </c>
      <c r="G6" s="7" t="s">
        <v>73</v>
      </c>
    </row>
    <row r="7" spans="2:7" x14ac:dyDescent="0.25">
      <c r="B7" s="23">
        <v>44936</v>
      </c>
      <c r="C7" s="26">
        <v>87</v>
      </c>
      <c r="D7" s="7" t="s">
        <v>43</v>
      </c>
      <c r="E7" s="24">
        <v>1083571</v>
      </c>
      <c r="F7" s="9">
        <f>+E7/1.06</f>
        <v>1022236.7924528301</v>
      </c>
      <c r="G7" s="9">
        <f>+F7*0.06</f>
        <v>61334.207547169804</v>
      </c>
    </row>
    <row r="8" spans="2:7" x14ac:dyDescent="0.25">
      <c r="B8" s="23">
        <v>44936</v>
      </c>
      <c r="C8" s="26">
        <v>88</v>
      </c>
      <c r="D8" s="7" t="s">
        <v>43</v>
      </c>
      <c r="E8" s="24">
        <v>500000</v>
      </c>
      <c r="F8" s="9">
        <f t="shared" ref="F8:F71" si="0">+E8/1.06</f>
        <v>471698.11320754717</v>
      </c>
      <c r="G8" s="9">
        <f t="shared" ref="G8:G71" si="1">+F8*0.06</f>
        <v>28301.886792452828</v>
      </c>
    </row>
    <row r="9" spans="2:7" x14ac:dyDescent="0.25">
      <c r="B9" s="23">
        <v>44936</v>
      </c>
      <c r="C9" s="26">
        <v>97</v>
      </c>
      <c r="D9" s="7" t="s">
        <v>39</v>
      </c>
      <c r="E9" s="24">
        <v>1292200</v>
      </c>
      <c r="F9" s="9">
        <f t="shared" si="0"/>
        <v>1219056.6037735848</v>
      </c>
      <c r="G9" s="9">
        <f t="shared" si="1"/>
        <v>73143.39622641509</v>
      </c>
    </row>
    <row r="10" spans="2:7" x14ac:dyDescent="0.25">
      <c r="B10" s="23">
        <v>44938</v>
      </c>
      <c r="C10" s="26">
        <v>3</v>
      </c>
      <c r="D10" s="7" t="s">
        <v>44</v>
      </c>
      <c r="E10" s="24">
        <v>13301827</v>
      </c>
      <c r="F10" s="9">
        <f t="shared" si="0"/>
        <v>12548893.396226414</v>
      </c>
      <c r="G10" s="9">
        <f t="shared" si="1"/>
        <v>752933.60377358482</v>
      </c>
    </row>
    <row r="11" spans="2:7" x14ac:dyDescent="0.25">
      <c r="B11" s="23">
        <v>44935</v>
      </c>
      <c r="C11" s="26">
        <v>92</v>
      </c>
      <c r="D11" s="7" t="s">
        <v>33</v>
      </c>
      <c r="E11" s="24">
        <v>7518087</v>
      </c>
      <c r="F11" s="9">
        <f t="shared" si="0"/>
        <v>7092534.9056603769</v>
      </c>
      <c r="G11" s="9">
        <f t="shared" si="1"/>
        <v>425552.09433962259</v>
      </c>
    </row>
    <row r="12" spans="2:7" x14ac:dyDescent="0.25">
      <c r="B12" s="23">
        <v>44935</v>
      </c>
      <c r="C12" s="26">
        <v>93</v>
      </c>
      <c r="D12" s="7" t="s">
        <v>26</v>
      </c>
      <c r="E12" s="24">
        <v>3790560</v>
      </c>
      <c r="F12" s="9">
        <f t="shared" si="0"/>
        <v>3576000</v>
      </c>
      <c r="G12" s="9">
        <f t="shared" si="1"/>
        <v>214560</v>
      </c>
    </row>
    <row r="13" spans="2:7" x14ac:dyDescent="0.25">
      <c r="B13" s="23">
        <v>44935</v>
      </c>
      <c r="C13" s="26">
        <v>100</v>
      </c>
      <c r="D13" s="7" t="s">
        <v>45</v>
      </c>
      <c r="E13" s="24">
        <v>710000</v>
      </c>
      <c r="F13" s="9">
        <f t="shared" si="0"/>
        <v>669811.32075471699</v>
      </c>
      <c r="G13" s="9">
        <f t="shared" si="1"/>
        <v>40188.67924528302</v>
      </c>
    </row>
    <row r="14" spans="2:7" x14ac:dyDescent="0.25">
      <c r="B14" s="23">
        <v>44935</v>
      </c>
      <c r="C14" s="26">
        <v>96</v>
      </c>
      <c r="D14" s="7" t="s">
        <v>40</v>
      </c>
      <c r="E14" s="24">
        <v>195000</v>
      </c>
      <c r="F14" s="9">
        <f t="shared" si="0"/>
        <v>183962.26415094337</v>
      </c>
      <c r="G14" s="9">
        <f t="shared" si="1"/>
        <v>11037.735849056602</v>
      </c>
    </row>
    <row r="15" spans="2:7" x14ac:dyDescent="0.25">
      <c r="B15" s="23">
        <v>44935</v>
      </c>
      <c r="C15" s="26">
        <v>94</v>
      </c>
      <c r="D15" s="7" t="s">
        <v>46</v>
      </c>
      <c r="E15" s="24">
        <v>210000</v>
      </c>
      <c r="F15" s="9">
        <f t="shared" si="0"/>
        <v>198113.20754716979</v>
      </c>
      <c r="G15" s="9">
        <f t="shared" si="1"/>
        <v>11886.792452830186</v>
      </c>
    </row>
    <row r="16" spans="2:7" x14ac:dyDescent="0.25">
      <c r="B16" s="23">
        <v>44945</v>
      </c>
      <c r="C16" s="26">
        <v>87</v>
      </c>
      <c r="D16" s="7" t="s">
        <v>30</v>
      </c>
      <c r="E16" s="24">
        <v>1126962</v>
      </c>
      <c r="F16" s="9">
        <f t="shared" si="0"/>
        <v>1063171.6981132075</v>
      </c>
      <c r="G16" s="9">
        <f t="shared" si="1"/>
        <v>63790.301886792447</v>
      </c>
    </row>
    <row r="17" spans="2:7" x14ac:dyDescent="0.25">
      <c r="B17" s="23">
        <v>44935</v>
      </c>
      <c r="C17" s="26">
        <v>95</v>
      </c>
      <c r="D17" s="7" t="s">
        <v>31</v>
      </c>
      <c r="E17" s="24">
        <v>270000</v>
      </c>
      <c r="F17" s="9">
        <f t="shared" si="0"/>
        <v>254716.98113207545</v>
      </c>
      <c r="G17" s="9">
        <f t="shared" si="1"/>
        <v>15283.018867924526</v>
      </c>
    </row>
    <row r="18" spans="2:7" x14ac:dyDescent="0.25">
      <c r="B18" s="23">
        <v>44936</v>
      </c>
      <c r="C18" s="26">
        <v>91</v>
      </c>
      <c r="D18" s="7" t="s">
        <v>24</v>
      </c>
      <c r="E18" s="24">
        <v>9386058</v>
      </c>
      <c r="F18" s="9">
        <f t="shared" si="0"/>
        <v>8854771.6981132068</v>
      </c>
      <c r="G18" s="9">
        <f t="shared" si="1"/>
        <v>531286.30188679241</v>
      </c>
    </row>
    <row r="19" spans="2:7" x14ac:dyDescent="0.25">
      <c r="B19" s="23">
        <v>44935</v>
      </c>
      <c r="C19" s="26">
        <v>89</v>
      </c>
      <c r="D19" s="7" t="s">
        <v>47</v>
      </c>
      <c r="E19" s="24">
        <v>800000</v>
      </c>
      <c r="F19" s="9">
        <f t="shared" si="0"/>
        <v>754716.98113207542</v>
      </c>
      <c r="G19" s="9">
        <f t="shared" si="1"/>
        <v>45283.018867924526</v>
      </c>
    </row>
    <row r="20" spans="2:7" x14ac:dyDescent="0.25">
      <c r="B20" s="23">
        <v>44935</v>
      </c>
      <c r="C20" s="26">
        <v>90</v>
      </c>
      <c r="D20" s="7" t="s">
        <v>35</v>
      </c>
      <c r="E20" s="24">
        <v>254000</v>
      </c>
      <c r="F20" s="9">
        <f t="shared" si="0"/>
        <v>239622.64150943395</v>
      </c>
      <c r="G20" s="9">
        <f t="shared" si="1"/>
        <v>14377.358490566035</v>
      </c>
    </row>
    <row r="21" spans="2:7" x14ac:dyDescent="0.25">
      <c r="B21" s="23">
        <v>44949</v>
      </c>
      <c r="C21" s="26">
        <v>4</v>
      </c>
      <c r="D21" s="7" t="s">
        <v>25</v>
      </c>
      <c r="E21" s="24">
        <v>750000</v>
      </c>
      <c r="F21" s="9">
        <f t="shared" si="0"/>
        <v>707547.16981132072</v>
      </c>
      <c r="G21" s="9">
        <f t="shared" si="1"/>
        <v>42452.83018867924</v>
      </c>
    </row>
    <row r="22" spans="2:7" x14ac:dyDescent="0.25">
      <c r="B22" s="23">
        <v>44957</v>
      </c>
      <c r="C22" s="26">
        <v>7</v>
      </c>
      <c r="D22" s="7" t="s">
        <v>39</v>
      </c>
      <c r="E22" s="24">
        <v>2028600</v>
      </c>
      <c r="F22" s="9">
        <f t="shared" si="0"/>
        <v>1913773.5849056602</v>
      </c>
      <c r="G22" s="9">
        <f t="shared" si="1"/>
        <v>114826.41509433961</v>
      </c>
    </row>
    <row r="23" spans="2:7" x14ac:dyDescent="0.25">
      <c r="B23" s="23">
        <v>44957</v>
      </c>
      <c r="C23" s="26">
        <v>8</v>
      </c>
      <c r="D23" s="7" t="s">
        <v>33</v>
      </c>
      <c r="E23" s="24">
        <v>2082720</v>
      </c>
      <c r="F23" s="9">
        <f t="shared" si="0"/>
        <v>1964830.1886792453</v>
      </c>
      <c r="G23" s="9">
        <f t="shared" si="1"/>
        <v>117889.81132075471</v>
      </c>
    </row>
    <row r="24" spans="2:7" x14ac:dyDescent="0.25">
      <c r="B24" s="23">
        <v>44964</v>
      </c>
      <c r="C24" s="26">
        <v>14</v>
      </c>
      <c r="D24" s="7" t="s">
        <v>24</v>
      </c>
      <c r="E24" s="24">
        <v>4410356</v>
      </c>
      <c r="F24" s="9">
        <f t="shared" si="0"/>
        <v>4160713.2075471696</v>
      </c>
      <c r="G24" s="9">
        <f t="shared" si="1"/>
        <v>249642.79245283018</v>
      </c>
    </row>
    <row r="25" spans="2:7" x14ac:dyDescent="0.25">
      <c r="B25" s="23">
        <v>44966</v>
      </c>
      <c r="C25" s="26">
        <v>16</v>
      </c>
      <c r="D25" s="7" t="s">
        <v>26</v>
      </c>
      <c r="E25" s="24">
        <v>3464080</v>
      </c>
      <c r="F25" s="9">
        <f t="shared" si="0"/>
        <v>3268000</v>
      </c>
      <c r="G25" s="9">
        <f t="shared" si="1"/>
        <v>196080</v>
      </c>
    </row>
    <row r="26" spans="2:7" x14ac:dyDescent="0.25">
      <c r="B26" s="23">
        <v>44973</v>
      </c>
      <c r="C26" s="26">
        <v>17</v>
      </c>
      <c r="D26" s="7" t="s">
        <v>30</v>
      </c>
      <c r="E26" s="24">
        <v>1400000</v>
      </c>
      <c r="F26" s="9">
        <f t="shared" si="0"/>
        <v>1320754.716981132</v>
      </c>
      <c r="G26" s="9">
        <f t="shared" si="1"/>
        <v>79245.283018867922</v>
      </c>
    </row>
    <row r="27" spans="2:7" x14ac:dyDescent="0.25">
      <c r="B27" s="23">
        <v>44977</v>
      </c>
      <c r="C27" s="26">
        <v>18</v>
      </c>
      <c r="D27" s="7" t="s">
        <v>30</v>
      </c>
      <c r="E27" s="24">
        <v>1345283</v>
      </c>
      <c r="F27" s="9">
        <f t="shared" si="0"/>
        <v>1269134.9056603773</v>
      </c>
      <c r="G27" s="9">
        <f t="shared" si="1"/>
        <v>76148.094339622636</v>
      </c>
    </row>
    <row r="28" spans="2:7" x14ac:dyDescent="0.25">
      <c r="B28" s="23">
        <v>44957</v>
      </c>
      <c r="C28" s="26">
        <v>6</v>
      </c>
      <c r="D28" s="7" t="s">
        <v>45</v>
      </c>
      <c r="E28" s="24">
        <v>710000</v>
      </c>
      <c r="F28" s="9">
        <f t="shared" si="0"/>
        <v>669811.32075471699</v>
      </c>
      <c r="G28" s="9">
        <f t="shared" si="1"/>
        <v>40188.67924528302</v>
      </c>
    </row>
    <row r="29" spans="2:7" x14ac:dyDescent="0.25">
      <c r="B29" s="23">
        <v>44964</v>
      </c>
      <c r="C29" s="26">
        <v>13</v>
      </c>
      <c r="D29" s="7" t="s">
        <v>40</v>
      </c>
      <c r="E29" s="24">
        <v>195000</v>
      </c>
      <c r="F29" s="9">
        <f t="shared" si="0"/>
        <v>183962.26415094337</v>
      </c>
      <c r="G29" s="9">
        <f t="shared" si="1"/>
        <v>11037.735849056602</v>
      </c>
    </row>
    <row r="30" spans="2:7" x14ac:dyDescent="0.25">
      <c r="B30" s="23">
        <v>44964</v>
      </c>
      <c r="C30" s="26">
        <v>12</v>
      </c>
      <c r="D30" s="7" t="s">
        <v>46</v>
      </c>
      <c r="E30" s="24">
        <v>210000</v>
      </c>
      <c r="F30" s="9">
        <f t="shared" si="0"/>
        <v>198113.20754716979</v>
      </c>
      <c r="G30" s="9">
        <f t="shared" si="1"/>
        <v>11886.792452830186</v>
      </c>
    </row>
    <row r="31" spans="2:7" x14ac:dyDescent="0.25">
      <c r="B31" s="23">
        <v>44964</v>
      </c>
      <c r="C31" s="26">
        <v>11</v>
      </c>
      <c r="D31" s="7" t="s">
        <v>31</v>
      </c>
      <c r="E31" s="24">
        <v>270000</v>
      </c>
      <c r="F31" s="9">
        <f t="shared" si="0"/>
        <v>254716.98113207545</v>
      </c>
      <c r="G31" s="9">
        <f t="shared" si="1"/>
        <v>15283.018867924526</v>
      </c>
    </row>
    <row r="32" spans="2:7" x14ac:dyDescent="0.25">
      <c r="B32" s="23">
        <v>44958</v>
      </c>
      <c r="C32" s="26">
        <v>10</v>
      </c>
      <c r="D32" s="7" t="s">
        <v>35</v>
      </c>
      <c r="E32" s="24">
        <v>254000</v>
      </c>
      <c r="F32" s="9">
        <f t="shared" si="0"/>
        <v>239622.64150943395</v>
      </c>
      <c r="G32" s="9">
        <f t="shared" si="1"/>
        <v>14377.358490566035</v>
      </c>
    </row>
    <row r="33" spans="2:7" x14ac:dyDescent="0.25">
      <c r="B33" s="23">
        <v>44993</v>
      </c>
      <c r="C33" s="26">
        <v>24</v>
      </c>
      <c r="D33" s="7" t="s">
        <v>33</v>
      </c>
      <c r="E33" s="24">
        <v>3301018</v>
      </c>
      <c r="F33" s="9">
        <f t="shared" si="0"/>
        <v>3114167.9245283017</v>
      </c>
      <c r="G33" s="9">
        <f t="shared" si="1"/>
        <v>186850.0754716981</v>
      </c>
    </row>
    <row r="34" spans="2:7" x14ac:dyDescent="0.25">
      <c r="B34" s="23">
        <v>44993</v>
      </c>
      <c r="C34" s="26">
        <v>29</v>
      </c>
      <c r="D34" s="7" t="s">
        <v>48</v>
      </c>
      <c r="E34" s="24">
        <v>325000</v>
      </c>
      <c r="F34" s="9">
        <f t="shared" si="0"/>
        <v>306603.77358490566</v>
      </c>
      <c r="G34" s="9">
        <f t="shared" si="1"/>
        <v>18396.226415094337</v>
      </c>
    </row>
    <row r="35" spans="2:7" x14ac:dyDescent="0.25">
      <c r="B35" s="23">
        <v>44993</v>
      </c>
      <c r="C35" s="26">
        <v>21</v>
      </c>
      <c r="D35" s="7" t="s">
        <v>26</v>
      </c>
      <c r="E35" s="24">
        <v>2908400</v>
      </c>
      <c r="F35" s="9">
        <f t="shared" si="0"/>
        <v>2743773.5849056602</v>
      </c>
      <c r="G35" s="9">
        <f t="shared" si="1"/>
        <v>164626.41509433961</v>
      </c>
    </row>
    <row r="36" spans="2:7" x14ac:dyDescent="0.25">
      <c r="B36" s="23">
        <v>44993</v>
      </c>
      <c r="C36" s="26">
        <v>22</v>
      </c>
      <c r="D36" s="7" t="s">
        <v>24</v>
      </c>
      <c r="E36" s="24">
        <v>4881876</v>
      </c>
      <c r="F36" s="9">
        <f t="shared" si="0"/>
        <v>4605543.3962264145</v>
      </c>
      <c r="G36" s="9">
        <f t="shared" si="1"/>
        <v>276332.60377358488</v>
      </c>
    </row>
    <row r="37" spans="2:7" x14ac:dyDescent="0.25">
      <c r="B37" s="23">
        <v>44993</v>
      </c>
      <c r="C37" s="26">
        <v>31</v>
      </c>
      <c r="D37" s="7" t="s">
        <v>47</v>
      </c>
      <c r="E37" s="24">
        <v>800000</v>
      </c>
      <c r="F37" s="9">
        <f t="shared" si="0"/>
        <v>754716.98113207542</v>
      </c>
      <c r="G37" s="9">
        <f t="shared" si="1"/>
        <v>45283.018867924526</v>
      </c>
    </row>
    <row r="38" spans="2:7" x14ac:dyDescent="0.25">
      <c r="B38" s="23">
        <v>44993</v>
      </c>
      <c r="C38" s="26">
        <v>30</v>
      </c>
      <c r="D38" s="7" t="s">
        <v>47</v>
      </c>
      <c r="E38" s="24">
        <v>800000</v>
      </c>
      <c r="F38" s="9">
        <f t="shared" si="0"/>
        <v>754716.98113207542</v>
      </c>
      <c r="G38" s="9">
        <f t="shared" si="1"/>
        <v>45283.018867924526</v>
      </c>
    </row>
    <row r="39" spans="2:7" x14ac:dyDescent="0.25">
      <c r="B39" s="23">
        <v>44993</v>
      </c>
      <c r="C39" s="26">
        <v>26</v>
      </c>
      <c r="D39" s="7" t="s">
        <v>31</v>
      </c>
      <c r="E39" s="24">
        <v>270000</v>
      </c>
      <c r="F39" s="9">
        <f t="shared" si="0"/>
        <v>254716.98113207545</v>
      </c>
      <c r="G39" s="9">
        <f t="shared" si="1"/>
        <v>15283.018867924526</v>
      </c>
    </row>
    <row r="40" spans="2:7" x14ac:dyDescent="0.25">
      <c r="B40" s="23">
        <v>44993</v>
      </c>
      <c r="C40" s="26">
        <v>28</v>
      </c>
      <c r="D40" s="7" t="s">
        <v>46</v>
      </c>
      <c r="E40" s="24">
        <v>210000</v>
      </c>
      <c r="F40" s="9">
        <f t="shared" si="0"/>
        <v>198113.20754716979</v>
      </c>
      <c r="G40" s="9">
        <f t="shared" si="1"/>
        <v>11886.792452830186</v>
      </c>
    </row>
    <row r="41" spans="2:7" x14ac:dyDescent="0.25">
      <c r="B41" s="23">
        <v>44993</v>
      </c>
      <c r="C41" s="26">
        <v>20</v>
      </c>
      <c r="D41" s="7" t="s">
        <v>39</v>
      </c>
      <c r="E41" s="24">
        <v>2638100</v>
      </c>
      <c r="F41" s="9">
        <f t="shared" si="0"/>
        <v>2488773.5849056602</v>
      </c>
      <c r="G41" s="9">
        <f t="shared" si="1"/>
        <v>149326.41509433961</v>
      </c>
    </row>
    <row r="42" spans="2:7" x14ac:dyDescent="0.25">
      <c r="B42" s="23">
        <v>44993</v>
      </c>
      <c r="C42" s="26">
        <v>23</v>
      </c>
      <c r="D42" s="7" t="s">
        <v>45</v>
      </c>
      <c r="E42" s="24">
        <v>660000</v>
      </c>
      <c r="F42" s="9">
        <f t="shared" si="0"/>
        <v>622641.50943396229</v>
      </c>
      <c r="G42" s="9">
        <f t="shared" si="1"/>
        <v>37358.490566037734</v>
      </c>
    </row>
    <row r="43" spans="2:7" x14ac:dyDescent="0.25">
      <c r="B43" s="23">
        <v>44993</v>
      </c>
      <c r="C43" s="26">
        <v>27</v>
      </c>
      <c r="D43" s="7" t="s">
        <v>35</v>
      </c>
      <c r="E43" s="24">
        <v>254000</v>
      </c>
      <c r="F43" s="9">
        <f t="shared" si="0"/>
        <v>239622.64150943395</v>
      </c>
      <c r="G43" s="9">
        <f t="shared" si="1"/>
        <v>14377.358490566035</v>
      </c>
    </row>
    <row r="44" spans="2:7" x14ac:dyDescent="0.25">
      <c r="B44" s="23">
        <v>45028</v>
      </c>
      <c r="C44" s="26">
        <v>43</v>
      </c>
      <c r="D44" s="7" t="s">
        <v>49</v>
      </c>
      <c r="E44" s="24">
        <v>1254485</v>
      </c>
      <c r="F44" s="9">
        <f t="shared" si="0"/>
        <v>1183476.4150943395</v>
      </c>
      <c r="G44" s="9">
        <f t="shared" si="1"/>
        <v>71008.584905660362</v>
      </c>
    </row>
    <row r="45" spans="2:7" x14ac:dyDescent="0.25">
      <c r="B45" s="23">
        <v>45028</v>
      </c>
      <c r="C45" s="26">
        <v>44</v>
      </c>
      <c r="D45" s="7" t="s">
        <v>49</v>
      </c>
      <c r="E45" s="24">
        <v>200000</v>
      </c>
      <c r="F45" s="9">
        <f t="shared" si="0"/>
        <v>188679.24528301886</v>
      </c>
      <c r="G45" s="9">
        <f t="shared" si="1"/>
        <v>11320.754716981131</v>
      </c>
    </row>
    <row r="46" spans="2:7" x14ac:dyDescent="0.25">
      <c r="B46" s="23">
        <v>45028</v>
      </c>
      <c r="C46" s="26">
        <v>45</v>
      </c>
      <c r="D46" s="7" t="s">
        <v>49</v>
      </c>
      <c r="E46" s="24">
        <v>560850</v>
      </c>
      <c r="F46" s="9">
        <f t="shared" si="0"/>
        <v>529103.77358490566</v>
      </c>
      <c r="G46" s="9">
        <f t="shared" si="1"/>
        <v>31746.226415094337</v>
      </c>
    </row>
    <row r="47" spans="2:7" x14ac:dyDescent="0.25">
      <c r="B47" s="23">
        <v>45022</v>
      </c>
      <c r="C47" s="26">
        <v>35</v>
      </c>
      <c r="D47" s="7" t="s">
        <v>48</v>
      </c>
      <c r="E47" s="24">
        <v>1200000</v>
      </c>
      <c r="F47" s="9">
        <f t="shared" si="0"/>
        <v>1132075.4716981133</v>
      </c>
      <c r="G47" s="9">
        <f t="shared" si="1"/>
        <v>67924.528301886792</v>
      </c>
    </row>
    <row r="48" spans="2:7" x14ac:dyDescent="0.25">
      <c r="B48" s="23">
        <v>45023</v>
      </c>
      <c r="C48" s="26">
        <v>38</v>
      </c>
      <c r="D48" s="7" t="s">
        <v>45</v>
      </c>
      <c r="E48" s="24">
        <v>676667</v>
      </c>
      <c r="F48" s="9">
        <f t="shared" si="0"/>
        <v>638365.09433962265</v>
      </c>
      <c r="G48" s="9">
        <f t="shared" si="1"/>
        <v>38301.905660377357</v>
      </c>
    </row>
    <row r="49" spans="2:7" x14ac:dyDescent="0.25">
      <c r="B49" s="23">
        <v>45023</v>
      </c>
      <c r="C49" s="26">
        <v>42</v>
      </c>
      <c r="D49" s="7" t="s">
        <v>30</v>
      </c>
      <c r="E49" s="24">
        <v>1444544</v>
      </c>
      <c r="F49" s="9">
        <f t="shared" si="0"/>
        <v>1362777.358490566</v>
      </c>
      <c r="G49" s="9">
        <f t="shared" si="1"/>
        <v>81766.641509433961</v>
      </c>
    </row>
    <row r="50" spans="2:7" x14ac:dyDescent="0.25">
      <c r="B50" s="23">
        <v>45021</v>
      </c>
      <c r="C50" s="26">
        <v>32</v>
      </c>
      <c r="D50" s="7" t="s">
        <v>24</v>
      </c>
      <c r="E50" s="24">
        <v>4893962</v>
      </c>
      <c r="F50" s="9">
        <f t="shared" si="0"/>
        <v>4616945.2830188675</v>
      </c>
      <c r="G50" s="9">
        <f t="shared" si="1"/>
        <v>277016.71698113205</v>
      </c>
    </row>
    <row r="51" spans="2:7" x14ac:dyDescent="0.25">
      <c r="B51" s="23">
        <v>45022</v>
      </c>
      <c r="C51" s="26">
        <v>33</v>
      </c>
      <c r="D51" s="7" t="s">
        <v>26</v>
      </c>
      <c r="E51" s="24">
        <v>3116660</v>
      </c>
      <c r="F51" s="9">
        <f t="shared" si="0"/>
        <v>2940245.283018868</v>
      </c>
      <c r="G51" s="9">
        <f t="shared" si="1"/>
        <v>176414.71698113208</v>
      </c>
    </row>
    <row r="52" spans="2:7" x14ac:dyDescent="0.25">
      <c r="B52" s="23">
        <v>45033</v>
      </c>
      <c r="C52" s="26">
        <v>48</v>
      </c>
      <c r="D52" s="7" t="s">
        <v>30</v>
      </c>
      <c r="E52" s="24">
        <v>1416441</v>
      </c>
      <c r="F52" s="9">
        <f t="shared" si="0"/>
        <v>1336265.0943396227</v>
      </c>
      <c r="G52" s="9">
        <f t="shared" si="1"/>
        <v>80175.90566037735</v>
      </c>
    </row>
    <row r="53" spans="2:7" x14ac:dyDescent="0.25">
      <c r="B53" s="23">
        <v>45022</v>
      </c>
      <c r="C53" s="26">
        <v>41</v>
      </c>
      <c r="D53" s="7" t="s">
        <v>39</v>
      </c>
      <c r="E53" s="24">
        <v>2646000</v>
      </c>
      <c r="F53" s="9">
        <f t="shared" si="0"/>
        <v>2496226.4150943393</v>
      </c>
      <c r="G53" s="9">
        <f t="shared" si="1"/>
        <v>149773.58490566036</v>
      </c>
    </row>
    <row r="54" spans="2:7" x14ac:dyDescent="0.25">
      <c r="B54" s="23">
        <v>45033</v>
      </c>
      <c r="C54" s="26">
        <v>47</v>
      </c>
      <c r="D54" s="7" t="s">
        <v>33</v>
      </c>
      <c r="E54" s="24">
        <v>499601</v>
      </c>
      <c r="F54" s="9">
        <f t="shared" si="0"/>
        <v>471321.69811320753</v>
      </c>
      <c r="G54" s="9">
        <f t="shared" si="1"/>
        <v>28279.301886792451</v>
      </c>
    </row>
    <row r="55" spans="2:7" x14ac:dyDescent="0.25">
      <c r="B55" s="23">
        <v>45022</v>
      </c>
      <c r="C55" s="26">
        <v>34</v>
      </c>
      <c r="D55" s="7" t="s">
        <v>33</v>
      </c>
      <c r="E55" s="24">
        <v>497056</v>
      </c>
      <c r="F55" s="9">
        <f t="shared" si="0"/>
        <v>468920.75471698109</v>
      </c>
      <c r="G55" s="9">
        <f t="shared" si="1"/>
        <v>28135.245283018863</v>
      </c>
    </row>
    <row r="56" spans="2:7" x14ac:dyDescent="0.25">
      <c r="B56" s="23">
        <v>45022</v>
      </c>
      <c r="C56" s="26">
        <v>40</v>
      </c>
      <c r="D56" s="7" t="s">
        <v>35</v>
      </c>
      <c r="E56" s="24">
        <v>514000</v>
      </c>
      <c r="F56" s="9">
        <f t="shared" si="0"/>
        <v>484905.66037735849</v>
      </c>
      <c r="G56" s="9">
        <f t="shared" si="1"/>
        <v>29094.33962264151</v>
      </c>
    </row>
    <row r="57" spans="2:7" x14ac:dyDescent="0.25">
      <c r="B57" s="23">
        <v>45022</v>
      </c>
      <c r="C57" s="26">
        <v>37</v>
      </c>
      <c r="D57" s="7" t="s">
        <v>31</v>
      </c>
      <c r="E57" s="24">
        <v>270000</v>
      </c>
      <c r="F57" s="9">
        <f t="shared" si="0"/>
        <v>254716.98113207545</v>
      </c>
      <c r="G57" s="9">
        <f t="shared" si="1"/>
        <v>15283.018867924526</v>
      </c>
    </row>
    <row r="58" spans="2:7" x14ac:dyDescent="0.25">
      <c r="B58" s="23">
        <v>45021</v>
      </c>
      <c r="C58" s="26">
        <v>39</v>
      </c>
      <c r="D58" s="7" t="s">
        <v>46</v>
      </c>
      <c r="E58" s="24">
        <v>210000</v>
      </c>
      <c r="F58" s="9">
        <f t="shared" si="0"/>
        <v>198113.20754716979</v>
      </c>
      <c r="G58" s="9">
        <f t="shared" si="1"/>
        <v>11886.792452830186</v>
      </c>
    </row>
    <row r="59" spans="2:7" x14ac:dyDescent="0.25">
      <c r="B59" s="23">
        <v>45022</v>
      </c>
      <c r="C59" s="26">
        <v>36</v>
      </c>
      <c r="D59" s="7" t="s">
        <v>47</v>
      </c>
      <c r="E59" s="24">
        <v>800000</v>
      </c>
      <c r="F59" s="9">
        <f t="shared" si="0"/>
        <v>754716.98113207542</v>
      </c>
      <c r="G59" s="9">
        <f t="shared" si="1"/>
        <v>45283.018867924526</v>
      </c>
    </row>
    <row r="60" spans="2:7" x14ac:dyDescent="0.25">
      <c r="B60" s="23">
        <v>45062</v>
      </c>
      <c r="C60" s="26">
        <v>59</v>
      </c>
      <c r="D60" s="7" t="s">
        <v>30</v>
      </c>
      <c r="E60" s="24">
        <v>1987884</v>
      </c>
      <c r="F60" s="9">
        <f t="shared" si="0"/>
        <v>1875362.2641509434</v>
      </c>
      <c r="G60" s="9">
        <f t="shared" si="1"/>
        <v>112521.7358490566</v>
      </c>
    </row>
    <row r="61" spans="2:7" x14ac:dyDescent="0.25">
      <c r="B61" s="23">
        <v>45054</v>
      </c>
      <c r="C61" s="26">
        <v>58</v>
      </c>
      <c r="D61" s="7" t="s">
        <v>50</v>
      </c>
      <c r="E61" s="24">
        <v>500000</v>
      </c>
      <c r="F61" s="9">
        <f t="shared" si="0"/>
        <v>471698.11320754717</v>
      </c>
      <c r="G61" s="9">
        <f t="shared" si="1"/>
        <v>28301.886792452828</v>
      </c>
    </row>
    <row r="62" spans="2:7" x14ac:dyDescent="0.25">
      <c r="B62" s="23">
        <v>45050</v>
      </c>
      <c r="C62" s="26">
        <v>57</v>
      </c>
      <c r="D62" s="7" t="s">
        <v>26</v>
      </c>
      <c r="E62" s="24">
        <v>2918400</v>
      </c>
      <c r="F62" s="9">
        <f t="shared" si="0"/>
        <v>2753207.5471698111</v>
      </c>
      <c r="G62" s="9">
        <f t="shared" si="1"/>
        <v>165192.45283018865</v>
      </c>
    </row>
    <row r="63" spans="2:7" x14ac:dyDescent="0.25">
      <c r="B63" s="23">
        <v>45050</v>
      </c>
      <c r="C63" s="26">
        <v>49</v>
      </c>
      <c r="D63" s="7" t="s">
        <v>24</v>
      </c>
      <c r="E63" s="24">
        <v>4879684</v>
      </c>
      <c r="F63" s="9">
        <f t="shared" si="0"/>
        <v>4603475.4716981128</v>
      </c>
      <c r="G63" s="9">
        <f t="shared" si="1"/>
        <v>276208.52830188675</v>
      </c>
    </row>
    <row r="64" spans="2:7" x14ac:dyDescent="0.25">
      <c r="B64" s="23">
        <v>45050</v>
      </c>
      <c r="C64" s="26">
        <v>52</v>
      </c>
      <c r="D64" s="7" t="s">
        <v>35</v>
      </c>
      <c r="E64" s="24">
        <v>514000</v>
      </c>
      <c r="F64" s="9">
        <f t="shared" si="0"/>
        <v>484905.66037735849</v>
      </c>
      <c r="G64" s="9">
        <f t="shared" si="1"/>
        <v>29094.33962264151</v>
      </c>
    </row>
    <row r="65" spans="1:7" x14ac:dyDescent="0.25">
      <c r="B65" s="23">
        <v>45050</v>
      </c>
      <c r="C65" s="26">
        <v>54</v>
      </c>
      <c r="D65" s="7" t="s">
        <v>31</v>
      </c>
      <c r="E65" s="24">
        <v>270000</v>
      </c>
      <c r="F65" s="9">
        <f t="shared" si="0"/>
        <v>254716.98113207545</v>
      </c>
      <c r="G65" s="9">
        <f t="shared" si="1"/>
        <v>15283.018867924526</v>
      </c>
    </row>
    <row r="66" spans="1:7" x14ac:dyDescent="0.25">
      <c r="B66" s="23">
        <v>45050</v>
      </c>
      <c r="C66" s="26">
        <v>53</v>
      </c>
      <c r="D66" s="7" t="s">
        <v>46</v>
      </c>
      <c r="E66" s="24">
        <v>210000</v>
      </c>
      <c r="F66" s="9">
        <f t="shared" si="0"/>
        <v>198113.20754716979</v>
      </c>
      <c r="G66" s="9">
        <f t="shared" si="1"/>
        <v>11886.792452830186</v>
      </c>
    </row>
    <row r="67" spans="1:7" x14ac:dyDescent="0.25">
      <c r="B67" s="23">
        <v>45050</v>
      </c>
      <c r="C67" s="26">
        <v>56</v>
      </c>
      <c r="D67" s="7" t="s">
        <v>47</v>
      </c>
      <c r="E67" s="24">
        <v>800000</v>
      </c>
      <c r="F67" s="9">
        <f t="shared" si="0"/>
        <v>754716.98113207542</v>
      </c>
      <c r="G67" s="9">
        <f t="shared" si="1"/>
        <v>45283.018867924526</v>
      </c>
    </row>
    <row r="68" spans="1:7" x14ac:dyDescent="0.25">
      <c r="B68" s="23">
        <v>45078</v>
      </c>
      <c r="C68" s="26">
        <v>61</v>
      </c>
      <c r="D68" s="7" t="s">
        <v>31</v>
      </c>
      <c r="E68" s="24">
        <v>270000</v>
      </c>
      <c r="F68" s="9">
        <f t="shared" si="0"/>
        <v>254716.98113207545</v>
      </c>
      <c r="G68" s="9">
        <f t="shared" si="1"/>
        <v>15283.018867924526</v>
      </c>
    </row>
    <row r="69" spans="1:7" x14ac:dyDescent="0.25">
      <c r="B69" s="23">
        <v>45079</v>
      </c>
      <c r="C69" s="26">
        <v>68</v>
      </c>
      <c r="D69" s="7" t="s">
        <v>46</v>
      </c>
      <c r="E69" s="24">
        <v>210000</v>
      </c>
      <c r="F69" s="9">
        <f t="shared" si="0"/>
        <v>198113.20754716979</v>
      </c>
      <c r="G69" s="9">
        <f t="shared" si="1"/>
        <v>11886.792452830186</v>
      </c>
    </row>
    <row r="70" spans="1:7" x14ac:dyDescent="0.25">
      <c r="B70" s="23">
        <v>45078</v>
      </c>
      <c r="C70" s="26">
        <v>64</v>
      </c>
      <c r="D70" s="7" t="s">
        <v>35</v>
      </c>
      <c r="E70" s="24">
        <v>514000</v>
      </c>
      <c r="F70" s="9">
        <f t="shared" si="0"/>
        <v>484905.66037735849</v>
      </c>
      <c r="G70" s="9">
        <f t="shared" si="1"/>
        <v>29094.33962264151</v>
      </c>
    </row>
    <row r="71" spans="1:7" x14ac:dyDescent="0.25">
      <c r="B71" s="23">
        <v>45078</v>
      </c>
      <c r="C71" s="26">
        <v>67</v>
      </c>
      <c r="D71" s="7" t="s">
        <v>51</v>
      </c>
      <c r="E71" s="24">
        <v>498000</v>
      </c>
      <c r="F71" s="9">
        <f t="shared" si="0"/>
        <v>469811.32075471693</v>
      </c>
      <c r="G71" s="9">
        <f t="shared" si="1"/>
        <v>28188.679245283016</v>
      </c>
    </row>
    <row r="72" spans="1:7" x14ac:dyDescent="0.25">
      <c r="A72" s="34"/>
      <c r="B72" s="23">
        <v>45083</v>
      </c>
      <c r="C72" s="26">
        <v>69</v>
      </c>
      <c r="D72" s="7" t="s">
        <v>52</v>
      </c>
      <c r="E72" s="24">
        <v>800000</v>
      </c>
      <c r="F72" s="9">
        <f t="shared" ref="F72:F135" si="2">+E72/1.06</f>
        <v>754716.98113207542</v>
      </c>
      <c r="G72" s="9">
        <f t="shared" ref="G72:G135" si="3">+F72*0.06</f>
        <v>45283.018867924526</v>
      </c>
    </row>
    <row r="73" spans="1:7" x14ac:dyDescent="0.25">
      <c r="A73" s="34"/>
      <c r="B73" s="23">
        <v>45078</v>
      </c>
      <c r="C73" s="26">
        <v>66</v>
      </c>
      <c r="D73" s="7" t="s">
        <v>53</v>
      </c>
      <c r="E73" s="24">
        <v>628532</v>
      </c>
      <c r="F73" s="9">
        <f t="shared" si="2"/>
        <v>592954.71698113205</v>
      </c>
      <c r="G73" s="9">
        <f t="shared" si="3"/>
        <v>35577.283018867922</v>
      </c>
    </row>
    <row r="74" spans="1:7" x14ac:dyDescent="0.25">
      <c r="A74" s="34"/>
      <c r="B74" s="23">
        <v>45078</v>
      </c>
      <c r="C74" s="26">
        <v>65</v>
      </c>
      <c r="D74" s="7" t="s">
        <v>26</v>
      </c>
      <c r="E74" s="24">
        <v>3332660</v>
      </c>
      <c r="F74" s="9">
        <f t="shared" si="2"/>
        <v>3144018.8679245282</v>
      </c>
      <c r="G74" s="9">
        <f t="shared" si="3"/>
        <v>188641.13207547169</v>
      </c>
    </row>
    <row r="75" spans="1:7" x14ac:dyDescent="0.25">
      <c r="A75" s="34"/>
      <c r="B75" s="23">
        <v>45078</v>
      </c>
      <c r="C75" s="26">
        <v>60</v>
      </c>
      <c r="D75" s="7" t="s">
        <v>12</v>
      </c>
      <c r="E75" s="24">
        <v>4915069</v>
      </c>
      <c r="F75" s="9">
        <f t="shared" si="2"/>
        <v>4636857.5471698111</v>
      </c>
      <c r="G75" s="9">
        <f t="shared" si="3"/>
        <v>278211.45283018867</v>
      </c>
    </row>
    <row r="76" spans="1:7" x14ac:dyDescent="0.25">
      <c r="A76" s="34"/>
      <c r="B76" s="23">
        <v>45078</v>
      </c>
      <c r="C76" s="26">
        <v>62</v>
      </c>
      <c r="D76" s="7" t="s">
        <v>36</v>
      </c>
      <c r="E76" s="24">
        <v>576000</v>
      </c>
      <c r="F76" s="9">
        <f t="shared" si="2"/>
        <v>543396.22641509434</v>
      </c>
      <c r="G76" s="9">
        <f t="shared" si="3"/>
        <v>32603.773584905659</v>
      </c>
    </row>
    <row r="77" spans="1:7" x14ac:dyDescent="0.25">
      <c r="A77" s="34"/>
      <c r="B77" s="23">
        <v>45098</v>
      </c>
      <c r="C77" s="26">
        <v>70</v>
      </c>
      <c r="D77" s="7" t="s">
        <v>30</v>
      </c>
      <c r="E77" s="24">
        <v>1646490</v>
      </c>
      <c r="F77" s="9">
        <f t="shared" si="2"/>
        <v>1553292.4528301887</v>
      </c>
      <c r="G77" s="9">
        <f t="shared" si="3"/>
        <v>93197.547169811311</v>
      </c>
    </row>
    <row r="78" spans="1:7" x14ac:dyDescent="0.25">
      <c r="A78" s="34"/>
      <c r="B78" s="23">
        <v>45098</v>
      </c>
      <c r="C78" s="26">
        <v>71</v>
      </c>
      <c r="D78" s="7" t="s">
        <v>54</v>
      </c>
      <c r="E78" s="24">
        <v>1800000</v>
      </c>
      <c r="F78" s="9">
        <f t="shared" si="2"/>
        <v>1698113.2075471696</v>
      </c>
      <c r="G78" s="9">
        <f t="shared" si="3"/>
        <v>101886.79245283018</v>
      </c>
    </row>
    <row r="79" spans="1:7" x14ac:dyDescent="0.25">
      <c r="A79" s="35"/>
      <c r="B79" s="23">
        <v>45111</v>
      </c>
      <c r="C79" s="26">
        <v>72</v>
      </c>
      <c r="D79" s="7" t="s">
        <v>24</v>
      </c>
      <c r="E79" s="24">
        <v>4997823</v>
      </c>
      <c r="F79" s="9">
        <f t="shared" si="2"/>
        <v>4714927.3584905658</v>
      </c>
      <c r="G79" s="9">
        <f t="shared" si="3"/>
        <v>282895.64150943392</v>
      </c>
    </row>
    <row r="80" spans="1:7" x14ac:dyDescent="0.25">
      <c r="A80" s="35"/>
      <c r="B80" s="23">
        <v>45111</v>
      </c>
      <c r="C80" s="26">
        <v>73</v>
      </c>
      <c r="D80" s="7" t="s">
        <v>35</v>
      </c>
      <c r="E80" s="24">
        <v>514000</v>
      </c>
      <c r="F80" s="9">
        <f t="shared" si="2"/>
        <v>484905.66037735849</v>
      </c>
      <c r="G80" s="9">
        <f t="shared" si="3"/>
        <v>29094.33962264151</v>
      </c>
    </row>
    <row r="81" spans="1:7" x14ac:dyDescent="0.25">
      <c r="A81" s="35"/>
      <c r="B81" s="23">
        <v>45111</v>
      </c>
      <c r="C81" s="26">
        <v>76</v>
      </c>
      <c r="D81" s="7" t="s">
        <v>45</v>
      </c>
      <c r="E81" s="24">
        <v>210000</v>
      </c>
      <c r="F81" s="9">
        <f t="shared" si="2"/>
        <v>198113.20754716979</v>
      </c>
      <c r="G81" s="9">
        <f t="shared" si="3"/>
        <v>11886.792452830186</v>
      </c>
    </row>
    <row r="82" spans="1:7" x14ac:dyDescent="0.25">
      <c r="A82" s="35"/>
      <c r="B82" s="23">
        <v>45112</v>
      </c>
      <c r="C82" s="26">
        <v>80</v>
      </c>
      <c r="D82" s="7" t="s">
        <v>24</v>
      </c>
      <c r="E82" s="24">
        <v>1000000</v>
      </c>
      <c r="F82" s="9">
        <f t="shared" si="2"/>
        <v>943396.22641509434</v>
      </c>
      <c r="G82" s="9">
        <f t="shared" si="3"/>
        <v>56603.773584905655</v>
      </c>
    </row>
    <row r="83" spans="1:7" x14ac:dyDescent="0.25">
      <c r="A83" s="35"/>
      <c r="B83" s="23">
        <v>45111</v>
      </c>
      <c r="C83" s="26">
        <v>74</v>
      </c>
      <c r="D83" s="7" t="s">
        <v>46</v>
      </c>
      <c r="E83" s="24">
        <v>210000</v>
      </c>
      <c r="F83" s="9">
        <f t="shared" si="2"/>
        <v>198113.20754716979</v>
      </c>
      <c r="G83" s="9">
        <f t="shared" si="3"/>
        <v>11886.792452830186</v>
      </c>
    </row>
    <row r="84" spans="1:7" x14ac:dyDescent="0.25">
      <c r="A84" s="35"/>
      <c r="B84" s="23">
        <v>45111</v>
      </c>
      <c r="C84" s="26">
        <v>75</v>
      </c>
      <c r="D84" s="7" t="s">
        <v>55</v>
      </c>
      <c r="E84" s="24">
        <v>237000</v>
      </c>
      <c r="F84" s="9">
        <f t="shared" si="2"/>
        <v>223584.90566037735</v>
      </c>
      <c r="G84" s="9">
        <f t="shared" si="3"/>
        <v>13415.094339622641</v>
      </c>
    </row>
    <row r="85" spans="1:7" x14ac:dyDescent="0.25">
      <c r="A85" s="35"/>
      <c r="B85" s="23">
        <v>45111</v>
      </c>
      <c r="C85" s="26">
        <v>81</v>
      </c>
      <c r="D85" s="7" t="s">
        <v>26</v>
      </c>
      <c r="E85" s="24">
        <v>6418337</v>
      </c>
      <c r="F85" s="9">
        <f t="shared" si="2"/>
        <v>6055034.9056603769</v>
      </c>
      <c r="G85" s="9">
        <f t="shared" si="3"/>
        <v>363302.09433962259</v>
      </c>
    </row>
    <row r="86" spans="1:7" x14ac:dyDescent="0.25">
      <c r="A86" s="35"/>
      <c r="B86" s="23">
        <v>45111</v>
      </c>
      <c r="C86" s="26">
        <v>77</v>
      </c>
      <c r="D86" s="7" t="s">
        <v>31</v>
      </c>
      <c r="E86" s="24">
        <v>270000</v>
      </c>
      <c r="F86" s="9">
        <f t="shared" si="2"/>
        <v>254716.98113207545</v>
      </c>
      <c r="G86" s="9">
        <f t="shared" si="3"/>
        <v>15283.018867924526</v>
      </c>
    </row>
    <row r="87" spans="1:7" x14ac:dyDescent="0.25">
      <c r="A87" s="35"/>
      <c r="B87" s="23">
        <v>45111</v>
      </c>
      <c r="C87" s="26">
        <v>79</v>
      </c>
      <c r="D87" s="7" t="s">
        <v>33</v>
      </c>
      <c r="E87" s="24">
        <v>2934640</v>
      </c>
      <c r="F87" s="9">
        <f t="shared" si="2"/>
        <v>2768528.3018867923</v>
      </c>
      <c r="G87" s="9">
        <f t="shared" si="3"/>
        <v>166111.69811320753</v>
      </c>
    </row>
    <row r="88" spans="1:7" x14ac:dyDescent="0.25">
      <c r="A88" s="35"/>
      <c r="B88" s="23">
        <v>45111</v>
      </c>
      <c r="C88" s="26">
        <v>78</v>
      </c>
      <c r="D88" s="7" t="s">
        <v>47</v>
      </c>
      <c r="E88" s="24">
        <v>800000</v>
      </c>
      <c r="F88" s="9">
        <f t="shared" si="2"/>
        <v>754716.98113207542</v>
      </c>
      <c r="G88" s="9">
        <f t="shared" si="3"/>
        <v>45283.018867924526</v>
      </c>
    </row>
    <row r="89" spans="1:7" x14ac:dyDescent="0.25">
      <c r="A89" s="35"/>
      <c r="B89" s="23">
        <v>45124</v>
      </c>
      <c r="C89" s="26">
        <v>84</v>
      </c>
      <c r="D89" s="7" t="s">
        <v>56</v>
      </c>
      <c r="E89" s="24">
        <v>3350000</v>
      </c>
      <c r="F89" s="9">
        <f t="shared" si="2"/>
        <v>3160377.3584905658</v>
      </c>
      <c r="G89" s="9">
        <f t="shared" si="3"/>
        <v>189622.64150943395</v>
      </c>
    </row>
    <row r="90" spans="1:7" x14ac:dyDescent="0.25">
      <c r="A90" s="35"/>
      <c r="B90" s="23">
        <v>45130</v>
      </c>
      <c r="C90" s="26">
        <v>85</v>
      </c>
      <c r="D90" s="7" t="s">
        <v>56</v>
      </c>
      <c r="E90" s="24">
        <v>1900000</v>
      </c>
      <c r="F90" s="9">
        <f t="shared" si="2"/>
        <v>1792452.830188679</v>
      </c>
      <c r="G90" s="9">
        <f t="shared" si="3"/>
        <v>107547.16981132074</v>
      </c>
    </row>
    <row r="91" spans="1:7" x14ac:dyDescent="0.25">
      <c r="A91" s="35"/>
      <c r="B91" s="23">
        <v>45127</v>
      </c>
      <c r="C91" s="26">
        <v>86</v>
      </c>
      <c r="D91" s="7" t="s">
        <v>30</v>
      </c>
      <c r="E91" s="24">
        <v>1625443</v>
      </c>
      <c r="F91" s="9">
        <f t="shared" si="2"/>
        <v>1533436.7924528301</v>
      </c>
      <c r="G91" s="9">
        <f t="shared" si="3"/>
        <v>92006.207547169804</v>
      </c>
    </row>
    <row r="92" spans="1:7" x14ac:dyDescent="0.25">
      <c r="A92" s="35"/>
      <c r="B92" s="23">
        <v>45117</v>
      </c>
      <c r="C92" s="26">
        <v>87</v>
      </c>
      <c r="D92" s="7" t="s">
        <v>26</v>
      </c>
      <c r="E92" s="24">
        <v>3322660</v>
      </c>
      <c r="F92" s="9">
        <f t="shared" si="2"/>
        <v>3134584.9056603773</v>
      </c>
      <c r="G92" s="9">
        <f t="shared" si="3"/>
        <v>188075.09433962262</v>
      </c>
    </row>
    <row r="93" spans="1:7" x14ac:dyDescent="0.25">
      <c r="A93" s="35"/>
      <c r="B93" s="23">
        <v>45117</v>
      </c>
      <c r="C93" s="26">
        <v>88</v>
      </c>
      <c r="D93" s="7" t="s">
        <v>26</v>
      </c>
      <c r="E93" s="24">
        <v>3095677</v>
      </c>
      <c r="F93" s="9">
        <f t="shared" si="2"/>
        <v>2920450</v>
      </c>
      <c r="G93" s="9">
        <f t="shared" si="3"/>
        <v>175227</v>
      </c>
    </row>
    <row r="94" spans="1:7" x14ac:dyDescent="0.25">
      <c r="A94" s="35"/>
      <c r="B94" s="23">
        <v>45111</v>
      </c>
      <c r="C94" s="26">
        <v>72</v>
      </c>
      <c r="D94" s="7" t="s">
        <v>24</v>
      </c>
      <c r="E94" s="24">
        <v>4997823</v>
      </c>
      <c r="F94" s="9">
        <f t="shared" si="2"/>
        <v>4714927.3584905658</v>
      </c>
      <c r="G94" s="9">
        <f t="shared" si="3"/>
        <v>282895.64150943392</v>
      </c>
    </row>
    <row r="95" spans="1:7" x14ac:dyDescent="0.25">
      <c r="A95" s="35"/>
      <c r="B95" s="23">
        <v>45111</v>
      </c>
      <c r="C95" s="26">
        <v>73</v>
      </c>
      <c r="D95" s="7" t="s">
        <v>35</v>
      </c>
      <c r="E95" s="24">
        <v>514000</v>
      </c>
      <c r="F95" s="9">
        <f t="shared" si="2"/>
        <v>484905.66037735849</v>
      </c>
      <c r="G95" s="9">
        <f t="shared" si="3"/>
        <v>29094.33962264151</v>
      </c>
    </row>
    <row r="96" spans="1:7" x14ac:dyDescent="0.25">
      <c r="A96" s="35"/>
      <c r="B96" s="23">
        <v>45111</v>
      </c>
      <c r="C96" s="26">
        <v>76</v>
      </c>
      <c r="D96" s="7" t="s">
        <v>45</v>
      </c>
      <c r="E96" s="24">
        <v>210000</v>
      </c>
      <c r="F96" s="9">
        <f t="shared" si="2"/>
        <v>198113.20754716979</v>
      </c>
      <c r="G96" s="9">
        <f t="shared" si="3"/>
        <v>11886.792452830186</v>
      </c>
    </row>
    <row r="97" spans="1:7" x14ac:dyDescent="0.25">
      <c r="A97" s="35"/>
      <c r="B97" s="23">
        <v>45112</v>
      </c>
      <c r="C97" s="26">
        <v>80</v>
      </c>
      <c r="D97" s="7" t="s">
        <v>24</v>
      </c>
      <c r="E97" s="24">
        <v>1000000</v>
      </c>
      <c r="F97" s="9">
        <f t="shared" si="2"/>
        <v>943396.22641509434</v>
      </c>
      <c r="G97" s="9">
        <f t="shared" si="3"/>
        <v>56603.773584905655</v>
      </c>
    </row>
    <row r="98" spans="1:7" x14ac:dyDescent="0.25">
      <c r="A98" s="35"/>
      <c r="B98" s="23">
        <v>45111</v>
      </c>
      <c r="C98" s="26">
        <v>74</v>
      </c>
      <c r="D98" s="7" t="s">
        <v>46</v>
      </c>
      <c r="E98" s="24">
        <v>210000</v>
      </c>
      <c r="F98" s="9">
        <f t="shared" si="2"/>
        <v>198113.20754716979</v>
      </c>
      <c r="G98" s="9">
        <f t="shared" si="3"/>
        <v>11886.792452830186</v>
      </c>
    </row>
    <row r="99" spans="1:7" x14ac:dyDescent="0.25">
      <c r="A99" s="35"/>
      <c r="B99" s="23">
        <v>45111</v>
      </c>
      <c r="C99" s="26">
        <v>75</v>
      </c>
      <c r="D99" s="7" t="s">
        <v>55</v>
      </c>
      <c r="E99" s="24">
        <v>237000</v>
      </c>
      <c r="F99" s="9">
        <f t="shared" si="2"/>
        <v>223584.90566037735</v>
      </c>
      <c r="G99" s="9">
        <f t="shared" si="3"/>
        <v>13415.094339622641</v>
      </c>
    </row>
    <row r="100" spans="1:7" x14ac:dyDescent="0.25">
      <c r="A100" s="35"/>
      <c r="B100" s="23">
        <v>45111</v>
      </c>
      <c r="C100" s="26">
        <v>81</v>
      </c>
      <c r="D100" s="7" t="s">
        <v>26</v>
      </c>
      <c r="E100" s="24">
        <v>6418337</v>
      </c>
      <c r="F100" s="9">
        <f t="shared" si="2"/>
        <v>6055034.9056603769</v>
      </c>
      <c r="G100" s="9">
        <f t="shared" si="3"/>
        <v>363302.09433962259</v>
      </c>
    </row>
    <row r="101" spans="1:7" x14ac:dyDescent="0.25">
      <c r="A101" s="35"/>
      <c r="B101" s="23">
        <v>45111</v>
      </c>
      <c r="C101" s="26">
        <v>77</v>
      </c>
      <c r="D101" s="7" t="s">
        <v>31</v>
      </c>
      <c r="E101" s="24">
        <v>270000</v>
      </c>
      <c r="F101" s="9">
        <f t="shared" si="2"/>
        <v>254716.98113207545</v>
      </c>
      <c r="G101" s="9">
        <f t="shared" si="3"/>
        <v>15283.018867924526</v>
      </c>
    </row>
    <row r="102" spans="1:7" x14ac:dyDescent="0.25">
      <c r="A102" s="35"/>
      <c r="B102" s="23">
        <v>45111</v>
      </c>
      <c r="C102" s="26">
        <v>79</v>
      </c>
      <c r="D102" s="7" t="s">
        <v>33</v>
      </c>
      <c r="E102" s="24">
        <v>2934640</v>
      </c>
      <c r="F102" s="9">
        <f t="shared" si="2"/>
        <v>2768528.3018867923</v>
      </c>
      <c r="G102" s="9">
        <f t="shared" si="3"/>
        <v>166111.69811320753</v>
      </c>
    </row>
    <row r="103" spans="1:7" x14ac:dyDescent="0.25">
      <c r="A103" s="35"/>
      <c r="B103" s="23">
        <v>45111</v>
      </c>
      <c r="C103" s="26">
        <v>78</v>
      </c>
      <c r="D103" s="7" t="s">
        <v>47</v>
      </c>
      <c r="E103" s="24">
        <v>800000</v>
      </c>
      <c r="F103" s="9">
        <f t="shared" si="2"/>
        <v>754716.98113207542</v>
      </c>
      <c r="G103" s="9">
        <f t="shared" si="3"/>
        <v>45283.018867924526</v>
      </c>
    </row>
    <row r="104" spans="1:7" x14ac:dyDescent="0.25">
      <c r="A104" s="35"/>
      <c r="B104" s="23">
        <v>45124</v>
      </c>
      <c r="C104" s="26">
        <v>84</v>
      </c>
      <c r="D104" s="7" t="s">
        <v>56</v>
      </c>
      <c r="E104" s="24">
        <v>3350000</v>
      </c>
      <c r="F104" s="9">
        <f t="shared" si="2"/>
        <v>3160377.3584905658</v>
      </c>
      <c r="G104" s="9">
        <f t="shared" si="3"/>
        <v>189622.64150943395</v>
      </c>
    </row>
    <row r="105" spans="1:7" x14ac:dyDescent="0.25">
      <c r="A105" s="35"/>
      <c r="B105" s="23">
        <v>45130</v>
      </c>
      <c r="C105" s="26">
        <v>85</v>
      </c>
      <c r="D105" s="7" t="s">
        <v>56</v>
      </c>
      <c r="E105" s="24">
        <v>1900000</v>
      </c>
      <c r="F105" s="9">
        <f t="shared" si="2"/>
        <v>1792452.830188679</v>
      </c>
      <c r="G105" s="9">
        <f t="shared" si="3"/>
        <v>107547.16981132074</v>
      </c>
    </row>
    <row r="106" spans="1:7" x14ac:dyDescent="0.25">
      <c r="A106" s="36"/>
      <c r="B106" s="23">
        <v>45127</v>
      </c>
      <c r="C106" s="26">
        <v>86</v>
      </c>
      <c r="D106" s="7" t="s">
        <v>30</v>
      </c>
      <c r="E106" s="24">
        <v>1625443</v>
      </c>
      <c r="F106" s="9">
        <f t="shared" si="2"/>
        <v>1533436.7924528301</v>
      </c>
      <c r="G106" s="9">
        <f t="shared" si="3"/>
        <v>92006.207547169804</v>
      </c>
    </row>
    <row r="107" spans="1:7" x14ac:dyDescent="0.25">
      <c r="A107" s="35"/>
      <c r="B107" s="23">
        <v>45117</v>
      </c>
      <c r="C107" s="26">
        <v>87</v>
      </c>
      <c r="D107" s="7" t="s">
        <v>26</v>
      </c>
      <c r="E107" s="24">
        <v>3322660</v>
      </c>
      <c r="F107" s="9">
        <f t="shared" si="2"/>
        <v>3134584.9056603773</v>
      </c>
      <c r="G107" s="9">
        <f t="shared" si="3"/>
        <v>188075.09433962262</v>
      </c>
    </row>
    <row r="108" spans="1:7" x14ac:dyDescent="0.25">
      <c r="A108" s="35"/>
      <c r="B108" s="23">
        <v>45117</v>
      </c>
      <c r="C108" s="26">
        <v>88</v>
      </c>
      <c r="D108" s="7" t="s">
        <v>26</v>
      </c>
      <c r="E108" s="24">
        <v>3095677</v>
      </c>
      <c r="F108" s="9">
        <f t="shared" si="2"/>
        <v>2920450</v>
      </c>
      <c r="G108" s="9">
        <f t="shared" si="3"/>
        <v>175227</v>
      </c>
    </row>
    <row r="109" spans="1:7" x14ac:dyDescent="0.25">
      <c r="B109" s="23">
        <v>45146</v>
      </c>
      <c r="C109" s="26">
        <v>90</v>
      </c>
      <c r="D109" s="7" t="s">
        <v>35</v>
      </c>
      <c r="E109" s="24">
        <v>514000</v>
      </c>
      <c r="F109" s="9">
        <f t="shared" si="2"/>
        <v>484905.66037735849</v>
      </c>
      <c r="G109" s="9">
        <f t="shared" si="3"/>
        <v>29094.33962264151</v>
      </c>
    </row>
    <row r="110" spans="1:7" x14ac:dyDescent="0.25">
      <c r="B110" s="23">
        <v>45146</v>
      </c>
      <c r="C110" s="26">
        <v>93</v>
      </c>
      <c r="D110" s="7" t="s">
        <v>57</v>
      </c>
      <c r="E110" s="24">
        <v>800000</v>
      </c>
      <c r="F110" s="9">
        <f t="shared" si="2"/>
        <v>754716.98113207542</v>
      </c>
      <c r="G110" s="9">
        <f t="shared" si="3"/>
        <v>45283.018867924526</v>
      </c>
    </row>
    <row r="111" spans="1:7" x14ac:dyDescent="0.25">
      <c r="B111" s="23">
        <v>45146</v>
      </c>
      <c r="C111" s="26">
        <v>94</v>
      </c>
      <c r="D111" s="7" t="s">
        <v>55</v>
      </c>
      <c r="E111" s="24">
        <v>237000</v>
      </c>
      <c r="F111" s="9">
        <f t="shared" si="2"/>
        <v>223584.90566037735</v>
      </c>
      <c r="G111" s="9">
        <f t="shared" si="3"/>
        <v>13415.094339622641</v>
      </c>
    </row>
    <row r="112" spans="1:7" x14ac:dyDescent="0.25">
      <c r="B112" s="23">
        <v>45146</v>
      </c>
      <c r="C112" s="26">
        <v>97</v>
      </c>
      <c r="D112" s="7" t="s">
        <v>26</v>
      </c>
      <c r="E112" s="24">
        <v>7317055</v>
      </c>
      <c r="F112" s="9">
        <f t="shared" si="2"/>
        <v>6902882.0754716974</v>
      </c>
      <c r="G112" s="9">
        <f t="shared" si="3"/>
        <v>414172.92452830181</v>
      </c>
    </row>
    <row r="113" spans="2:7" x14ac:dyDescent="0.25">
      <c r="B113" s="23">
        <v>45146</v>
      </c>
      <c r="C113" s="26">
        <v>98</v>
      </c>
      <c r="D113" s="7" t="s">
        <v>26</v>
      </c>
      <c r="E113" s="24">
        <v>3201240</v>
      </c>
      <c r="F113" s="9">
        <f t="shared" si="2"/>
        <v>3020037.7358490564</v>
      </c>
      <c r="G113" s="9">
        <f t="shared" si="3"/>
        <v>181202.26415094337</v>
      </c>
    </row>
    <row r="114" spans="2:7" x14ac:dyDescent="0.25">
      <c r="B114" s="23">
        <v>45146</v>
      </c>
      <c r="C114" s="26">
        <v>89</v>
      </c>
      <c r="D114" s="7" t="s">
        <v>36</v>
      </c>
      <c r="E114" s="24">
        <v>210000</v>
      </c>
      <c r="F114" s="9">
        <f t="shared" si="2"/>
        <v>198113.20754716979</v>
      </c>
      <c r="G114" s="9">
        <f t="shared" si="3"/>
        <v>11886.792452830186</v>
      </c>
    </row>
    <row r="115" spans="2:7" x14ac:dyDescent="0.25">
      <c r="B115" s="23">
        <v>45146</v>
      </c>
      <c r="C115" s="26">
        <v>96</v>
      </c>
      <c r="D115" s="7" t="s">
        <v>33</v>
      </c>
      <c r="E115" s="24">
        <v>3418125</v>
      </c>
      <c r="F115" s="9">
        <f t="shared" si="2"/>
        <v>3224646.226415094</v>
      </c>
      <c r="G115" s="9">
        <f t="shared" si="3"/>
        <v>193478.77358490563</v>
      </c>
    </row>
    <row r="116" spans="2:7" x14ac:dyDescent="0.25">
      <c r="B116" s="23">
        <v>45146</v>
      </c>
      <c r="C116" s="26">
        <v>95</v>
      </c>
      <c r="D116" s="7" t="s">
        <v>12</v>
      </c>
      <c r="E116" s="24">
        <v>4125240</v>
      </c>
      <c r="F116" s="9">
        <f t="shared" si="2"/>
        <v>3891735.8490566034</v>
      </c>
      <c r="G116" s="9">
        <f t="shared" si="3"/>
        <v>233504.15094339621</v>
      </c>
    </row>
    <row r="117" spans="2:7" x14ac:dyDescent="0.25">
      <c r="B117" s="23">
        <v>45159</v>
      </c>
      <c r="C117" s="26">
        <v>99</v>
      </c>
      <c r="D117" s="7" t="s">
        <v>30</v>
      </c>
      <c r="E117" s="24">
        <v>1632632</v>
      </c>
      <c r="F117" s="9">
        <f t="shared" si="2"/>
        <v>1540218.8679245282</v>
      </c>
      <c r="G117" s="9">
        <f t="shared" si="3"/>
        <v>92413.132075471687</v>
      </c>
    </row>
    <row r="118" spans="2:7" x14ac:dyDescent="0.25">
      <c r="B118" s="23">
        <v>45159</v>
      </c>
      <c r="C118" s="26">
        <v>1</v>
      </c>
      <c r="D118" s="7" t="s">
        <v>30</v>
      </c>
      <c r="E118" s="24">
        <v>1200000</v>
      </c>
      <c r="F118" s="9">
        <f t="shared" si="2"/>
        <v>1132075.4716981133</v>
      </c>
      <c r="G118" s="9">
        <f t="shared" si="3"/>
        <v>67924.528301886792</v>
      </c>
    </row>
    <row r="119" spans="2:7" x14ac:dyDescent="0.25">
      <c r="B119" s="23">
        <v>45170</v>
      </c>
      <c r="C119" s="26">
        <v>2</v>
      </c>
      <c r="D119" s="7" t="s">
        <v>58</v>
      </c>
      <c r="E119" s="24">
        <v>1899740</v>
      </c>
      <c r="F119" s="9">
        <f t="shared" si="2"/>
        <v>1792207.5471698113</v>
      </c>
      <c r="G119" s="9">
        <f t="shared" si="3"/>
        <v>107532.45283018867</v>
      </c>
    </row>
    <row r="120" spans="2:7" x14ac:dyDescent="0.25">
      <c r="B120" s="23">
        <v>45180</v>
      </c>
      <c r="C120" s="26">
        <v>3</v>
      </c>
      <c r="D120" s="7" t="s">
        <v>51</v>
      </c>
      <c r="E120" s="24">
        <v>237000</v>
      </c>
      <c r="F120" s="9">
        <f t="shared" si="2"/>
        <v>223584.90566037735</v>
      </c>
      <c r="G120" s="9">
        <f t="shared" si="3"/>
        <v>13415.094339622641</v>
      </c>
    </row>
    <row r="121" spans="2:7" x14ac:dyDescent="0.25">
      <c r="B121" s="23">
        <v>45180</v>
      </c>
      <c r="C121" s="26">
        <v>4</v>
      </c>
      <c r="D121" s="7" t="s">
        <v>35</v>
      </c>
      <c r="E121" s="24">
        <v>514000</v>
      </c>
      <c r="F121" s="9">
        <f t="shared" si="2"/>
        <v>484905.66037735849</v>
      </c>
      <c r="G121" s="9">
        <f t="shared" si="3"/>
        <v>29094.33962264151</v>
      </c>
    </row>
    <row r="122" spans="2:7" x14ac:dyDescent="0.25">
      <c r="B122" s="23">
        <v>45180</v>
      </c>
      <c r="C122" s="26">
        <v>5</v>
      </c>
      <c r="D122" s="7" t="s">
        <v>59</v>
      </c>
      <c r="E122" s="24">
        <v>119543</v>
      </c>
      <c r="F122" s="9">
        <f t="shared" si="2"/>
        <v>112776.41509433962</v>
      </c>
      <c r="G122" s="9">
        <f t="shared" si="3"/>
        <v>6766.5849056603774</v>
      </c>
    </row>
    <row r="123" spans="2:7" x14ac:dyDescent="0.25">
      <c r="B123" s="23">
        <v>45180</v>
      </c>
      <c r="C123" s="26">
        <v>8</v>
      </c>
      <c r="D123" s="7" t="s">
        <v>26</v>
      </c>
      <c r="E123" s="24">
        <v>7317055</v>
      </c>
      <c r="F123" s="9">
        <f t="shared" si="2"/>
        <v>6902882.0754716974</v>
      </c>
      <c r="G123" s="9">
        <f t="shared" si="3"/>
        <v>414172.92452830181</v>
      </c>
    </row>
    <row r="124" spans="2:7" x14ac:dyDescent="0.25">
      <c r="B124" s="23">
        <v>45180</v>
      </c>
      <c r="C124" s="26">
        <v>9</v>
      </c>
      <c r="D124" s="7" t="s">
        <v>36</v>
      </c>
      <c r="E124" s="24">
        <v>510000</v>
      </c>
      <c r="F124" s="9">
        <f t="shared" si="2"/>
        <v>481132.07547169807</v>
      </c>
      <c r="G124" s="9">
        <f t="shared" si="3"/>
        <v>28867.924528301883</v>
      </c>
    </row>
    <row r="125" spans="2:7" x14ac:dyDescent="0.25">
      <c r="B125" s="23">
        <v>45180</v>
      </c>
      <c r="C125" s="26">
        <v>6</v>
      </c>
      <c r="D125" s="7" t="s">
        <v>12</v>
      </c>
      <c r="E125" s="24">
        <v>4126757</v>
      </c>
      <c r="F125" s="9">
        <f t="shared" si="2"/>
        <v>3893166.9811320752</v>
      </c>
      <c r="G125" s="9">
        <f t="shared" si="3"/>
        <v>233590.01886792449</v>
      </c>
    </row>
    <row r="126" spans="2:7" x14ac:dyDescent="0.25">
      <c r="B126" s="23">
        <v>45181</v>
      </c>
      <c r="C126" s="26">
        <v>10</v>
      </c>
      <c r="D126" s="7" t="s">
        <v>33</v>
      </c>
      <c r="E126" s="24">
        <v>6788518</v>
      </c>
      <c r="F126" s="9">
        <f t="shared" si="2"/>
        <v>6404262.2641509427</v>
      </c>
      <c r="G126" s="9">
        <f t="shared" si="3"/>
        <v>384255.73584905657</v>
      </c>
    </row>
    <row r="127" spans="2:7" x14ac:dyDescent="0.25">
      <c r="B127" s="23">
        <v>45191</v>
      </c>
      <c r="C127" s="26">
        <v>12</v>
      </c>
      <c r="D127" s="7" t="s">
        <v>30</v>
      </c>
      <c r="E127" s="24">
        <v>1589018</v>
      </c>
      <c r="F127" s="9">
        <f t="shared" si="2"/>
        <v>1499073.5849056602</v>
      </c>
      <c r="G127" s="9">
        <f t="shared" si="3"/>
        <v>89944.415094339609</v>
      </c>
    </row>
    <row r="128" spans="2:7" x14ac:dyDescent="0.25">
      <c r="B128" s="23">
        <v>45202</v>
      </c>
      <c r="C128" s="26">
        <v>14</v>
      </c>
      <c r="D128" s="7" t="s">
        <v>41</v>
      </c>
      <c r="E128" s="24">
        <v>210000</v>
      </c>
      <c r="F128" s="9">
        <f t="shared" si="2"/>
        <v>198113.20754716979</v>
      </c>
      <c r="G128" s="9">
        <f t="shared" si="3"/>
        <v>11886.792452830186</v>
      </c>
    </row>
    <row r="129" spans="2:7" x14ac:dyDescent="0.25">
      <c r="B129" s="23">
        <v>45201</v>
      </c>
      <c r="C129" s="26">
        <v>15</v>
      </c>
      <c r="D129" s="7" t="s">
        <v>35</v>
      </c>
      <c r="E129" s="24">
        <v>514000</v>
      </c>
      <c r="F129" s="9">
        <f t="shared" si="2"/>
        <v>484905.66037735849</v>
      </c>
      <c r="G129" s="9">
        <f t="shared" si="3"/>
        <v>29094.33962264151</v>
      </c>
    </row>
    <row r="130" spans="2:7" x14ac:dyDescent="0.25">
      <c r="B130" s="23">
        <v>45202</v>
      </c>
      <c r="C130" s="26">
        <v>16</v>
      </c>
      <c r="D130" s="7" t="s">
        <v>55</v>
      </c>
      <c r="E130" s="24">
        <v>237000</v>
      </c>
      <c r="F130" s="9">
        <f t="shared" si="2"/>
        <v>223584.90566037735</v>
      </c>
      <c r="G130" s="9">
        <f t="shared" si="3"/>
        <v>13415.094339622641</v>
      </c>
    </row>
    <row r="131" spans="2:7" x14ac:dyDescent="0.25">
      <c r="B131" s="23">
        <v>45202</v>
      </c>
      <c r="C131" s="26">
        <v>17</v>
      </c>
      <c r="D131" s="7" t="s">
        <v>33</v>
      </c>
      <c r="E131" s="24">
        <v>7174361</v>
      </c>
      <c r="F131" s="9">
        <f t="shared" si="2"/>
        <v>6768265.0943396222</v>
      </c>
      <c r="G131" s="9">
        <f t="shared" si="3"/>
        <v>406095.90566037729</v>
      </c>
    </row>
    <row r="132" spans="2:7" x14ac:dyDescent="0.25">
      <c r="B132" s="23">
        <v>45202</v>
      </c>
      <c r="C132" s="26">
        <v>18</v>
      </c>
      <c r="D132" s="7" t="s">
        <v>26</v>
      </c>
      <c r="E132" s="24">
        <v>3059820</v>
      </c>
      <c r="F132" s="9">
        <f t="shared" si="2"/>
        <v>2886622.6415094337</v>
      </c>
      <c r="G132" s="9">
        <f t="shared" si="3"/>
        <v>173197.35849056602</v>
      </c>
    </row>
    <row r="133" spans="2:7" x14ac:dyDescent="0.25">
      <c r="B133" s="23">
        <v>45202</v>
      </c>
      <c r="C133" s="26">
        <v>20</v>
      </c>
      <c r="D133" s="7" t="s">
        <v>12</v>
      </c>
      <c r="E133" s="24">
        <v>4449527</v>
      </c>
      <c r="F133" s="9">
        <f t="shared" si="2"/>
        <v>4197666.9811320752</v>
      </c>
      <c r="G133" s="9">
        <f t="shared" si="3"/>
        <v>251860.01886792449</v>
      </c>
    </row>
    <row r="134" spans="2:7" x14ac:dyDescent="0.25">
      <c r="B134" s="23">
        <v>45208</v>
      </c>
      <c r="C134" s="26">
        <v>23</v>
      </c>
      <c r="D134" s="7" t="s">
        <v>60</v>
      </c>
      <c r="E134" s="24">
        <v>4573825</v>
      </c>
      <c r="F134" s="9">
        <f t="shared" si="2"/>
        <v>4314929.2452830188</v>
      </c>
      <c r="G134" s="9">
        <f t="shared" si="3"/>
        <v>258895.75471698112</v>
      </c>
    </row>
    <row r="135" spans="2:7" x14ac:dyDescent="0.25">
      <c r="B135" s="23">
        <v>45218</v>
      </c>
      <c r="C135" s="26">
        <v>24</v>
      </c>
      <c r="D135" s="7" t="s">
        <v>33</v>
      </c>
      <c r="E135" s="24">
        <v>521086</v>
      </c>
      <c r="F135" s="9">
        <f t="shared" si="2"/>
        <v>491590.56603773584</v>
      </c>
      <c r="G135" s="9">
        <f t="shared" si="3"/>
        <v>29495.433962264149</v>
      </c>
    </row>
    <row r="136" spans="2:7" x14ac:dyDescent="0.25">
      <c r="B136" s="23">
        <v>45218</v>
      </c>
      <c r="C136" s="26">
        <v>25</v>
      </c>
      <c r="D136" s="7" t="s">
        <v>54</v>
      </c>
      <c r="E136" s="24">
        <v>495000</v>
      </c>
      <c r="F136" s="9">
        <f t="shared" ref="F136:F184" si="4">+E136/1.06</f>
        <v>466981.13207547169</v>
      </c>
      <c r="G136" s="9">
        <f t="shared" ref="G136:G184" si="5">+F136*0.06</f>
        <v>28018.867924528302</v>
      </c>
    </row>
    <row r="137" spans="2:7" x14ac:dyDescent="0.25">
      <c r="B137" s="23">
        <v>45218</v>
      </c>
      <c r="C137" s="26">
        <v>26</v>
      </c>
      <c r="D137" s="7" t="s">
        <v>12</v>
      </c>
      <c r="E137" s="24">
        <v>1200000</v>
      </c>
      <c r="F137" s="9">
        <f t="shared" si="4"/>
        <v>1132075.4716981133</v>
      </c>
      <c r="G137" s="9">
        <f t="shared" si="5"/>
        <v>67924.528301886792</v>
      </c>
    </row>
    <row r="138" spans="2:7" x14ac:dyDescent="0.25">
      <c r="B138" s="23">
        <v>45208</v>
      </c>
      <c r="C138" s="26">
        <v>27</v>
      </c>
      <c r="D138" s="7" t="s">
        <v>60</v>
      </c>
      <c r="E138" s="24">
        <v>3616701</v>
      </c>
      <c r="F138" s="9">
        <f t="shared" si="4"/>
        <v>3411982.0754716978</v>
      </c>
      <c r="G138" s="9">
        <f t="shared" si="5"/>
        <v>204718.92452830187</v>
      </c>
    </row>
    <row r="139" spans="2:7" x14ac:dyDescent="0.25">
      <c r="B139" s="23">
        <v>45229</v>
      </c>
      <c r="C139" s="26">
        <v>34</v>
      </c>
      <c r="D139" s="7" t="s">
        <v>30</v>
      </c>
      <c r="E139" s="24">
        <v>1983636</v>
      </c>
      <c r="F139" s="9">
        <f t="shared" si="4"/>
        <v>1871354.716981132</v>
      </c>
      <c r="G139" s="9">
        <f t="shared" si="5"/>
        <v>112281.28301886792</v>
      </c>
    </row>
    <row r="140" spans="2:7" x14ac:dyDescent="0.25">
      <c r="B140" s="23">
        <v>45237</v>
      </c>
      <c r="C140" s="26">
        <v>37</v>
      </c>
      <c r="D140" s="7" t="s">
        <v>55</v>
      </c>
      <c r="E140" s="24">
        <v>237000</v>
      </c>
      <c r="F140" s="9">
        <f t="shared" si="4"/>
        <v>223584.90566037735</v>
      </c>
      <c r="G140" s="9">
        <f t="shared" si="5"/>
        <v>13415.094339622641</v>
      </c>
    </row>
    <row r="141" spans="2:7" x14ac:dyDescent="0.25">
      <c r="B141" s="23">
        <v>45237</v>
      </c>
      <c r="C141" s="26">
        <v>38</v>
      </c>
      <c r="D141" s="7" t="s">
        <v>35</v>
      </c>
      <c r="E141" s="24">
        <v>514000</v>
      </c>
      <c r="F141" s="9">
        <f t="shared" si="4"/>
        <v>484905.66037735849</v>
      </c>
      <c r="G141" s="9">
        <f t="shared" si="5"/>
        <v>29094.33962264151</v>
      </c>
    </row>
    <row r="142" spans="2:7" x14ac:dyDescent="0.25">
      <c r="B142" s="23">
        <v>45237</v>
      </c>
      <c r="C142" s="26">
        <v>39</v>
      </c>
      <c r="D142" s="7" t="s">
        <v>46</v>
      </c>
      <c r="E142" s="24">
        <v>210000</v>
      </c>
      <c r="F142" s="9">
        <f t="shared" si="4"/>
        <v>198113.20754716979</v>
      </c>
      <c r="G142" s="9">
        <f t="shared" si="5"/>
        <v>11886.792452830186</v>
      </c>
    </row>
    <row r="143" spans="2:7" x14ac:dyDescent="0.25">
      <c r="B143" s="23">
        <v>45237</v>
      </c>
      <c r="C143" s="26">
        <v>32</v>
      </c>
      <c r="D143" s="7" t="s">
        <v>60</v>
      </c>
      <c r="E143" s="24">
        <v>4811240</v>
      </c>
      <c r="F143" s="9">
        <f t="shared" si="4"/>
        <v>4538905.6603773581</v>
      </c>
      <c r="G143" s="9">
        <f t="shared" si="5"/>
        <v>272334.33962264145</v>
      </c>
    </row>
    <row r="144" spans="2:7" x14ac:dyDescent="0.25">
      <c r="B144" s="23">
        <v>45237</v>
      </c>
      <c r="C144" s="26">
        <v>44</v>
      </c>
      <c r="D144" s="7" t="s">
        <v>60</v>
      </c>
      <c r="E144" s="24">
        <v>4725194</v>
      </c>
      <c r="F144" s="9">
        <f t="shared" si="4"/>
        <v>4457730.1886792453</v>
      </c>
      <c r="G144" s="9">
        <f t="shared" si="5"/>
        <v>267463.8113207547</v>
      </c>
    </row>
    <row r="145" spans="2:7" x14ac:dyDescent="0.25">
      <c r="B145" s="23">
        <v>45237</v>
      </c>
      <c r="C145" s="26">
        <v>42</v>
      </c>
      <c r="D145" s="7" t="s">
        <v>61</v>
      </c>
      <c r="E145" s="24">
        <v>421855</v>
      </c>
      <c r="F145" s="9">
        <f t="shared" si="4"/>
        <v>397976.41509433958</v>
      </c>
      <c r="G145" s="9">
        <f t="shared" si="5"/>
        <v>23878.584905660373</v>
      </c>
    </row>
    <row r="146" spans="2:7" x14ac:dyDescent="0.25">
      <c r="B146" s="23">
        <v>45237</v>
      </c>
      <c r="C146" s="26">
        <v>43</v>
      </c>
      <c r="D146" s="7" t="s">
        <v>61</v>
      </c>
      <c r="E146" s="24">
        <v>32382</v>
      </c>
      <c r="F146" s="9">
        <f t="shared" si="4"/>
        <v>30549.056603773584</v>
      </c>
      <c r="G146" s="9">
        <f t="shared" si="5"/>
        <v>1832.943396226415</v>
      </c>
    </row>
    <row r="147" spans="2:7" x14ac:dyDescent="0.25">
      <c r="B147" s="23">
        <v>45237</v>
      </c>
      <c r="C147" s="26">
        <v>36</v>
      </c>
      <c r="D147" s="7" t="s">
        <v>53</v>
      </c>
      <c r="E147" s="24">
        <v>904620</v>
      </c>
      <c r="F147" s="9">
        <f t="shared" si="4"/>
        <v>853415.09433962265</v>
      </c>
      <c r="G147" s="9">
        <f t="shared" si="5"/>
        <v>51204.905660377357</v>
      </c>
    </row>
    <row r="148" spans="2:7" x14ac:dyDescent="0.25">
      <c r="B148" s="23">
        <v>45237</v>
      </c>
      <c r="C148" s="26">
        <v>35</v>
      </c>
      <c r="D148" s="7" t="s">
        <v>53</v>
      </c>
      <c r="E148" s="24">
        <v>5352260</v>
      </c>
      <c r="F148" s="9">
        <f t="shared" si="4"/>
        <v>5049301.886792453</v>
      </c>
      <c r="G148" s="9">
        <f t="shared" si="5"/>
        <v>302958.11320754717</v>
      </c>
    </row>
    <row r="149" spans="2:7" x14ac:dyDescent="0.25">
      <c r="B149" s="23">
        <v>45237</v>
      </c>
      <c r="C149" s="26">
        <v>40</v>
      </c>
      <c r="D149" s="7" t="s">
        <v>62</v>
      </c>
      <c r="E149" s="24">
        <v>279216</v>
      </c>
      <c r="F149" s="9">
        <f t="shared" si="4"/>
        <v>263411.32075471699</v>
      </c>
      <c r="G149" s="9">
        <f t="shared" si="5"/>
        <v>15804.67924528302</v>
      </c>
    </row>
    <row r="150" spans="2:7" x14ac:dyDescent="0.25">
      <c r="B150" s="23">
        <v>45237</v>
      </c>
      <c r="C150" s="26">
        <v>33</v>
      </c>
      <c r="D150" s="7" t="s">
        <v>12</v>
      </c>
      <c r="E150" s="24">
        <v>4454380</v>
      </c>
      <c r="F150" s="9">
        <f t="shared" si="4"/>
        <v>4202245.2830188675</v>
      </c>
      <c r="G150" s="9">
        <f t="shared" si="5"/>
        <v>252134.71698113205</v>
      </c>
    </row>
    <row r="151" spans="2:7" x14ac:dyDescent="0.25">
      <c r="B151" s="23">
        <v>45237</v>
      </c>
      <c r="C151" s="26">
        <v>28</v>
      </c>
      <c r="D151" s="7" t="s">
        <v>63</v>
      </c>
      <c r="E151" s="24">
        <v>300000</v>
      </c>
      <c r="F151" s="9">
        <f t="shared" si="4"/>
        <v>283018.86792452831</v>
      </c>
      <c r="G151" s="9">
        <f t="shared" si="5"/>
        <v>16981.132075471698</v>
      </c>
    </row>
    <row r="152" spans="2:7" x14ac:dyDescent="0.25">
      <c r="B152" s="23">
        <v>45237</v>
      </c>
      <c r="C152" s="26">
        <v>29</v>
      </c>
      <c r="D152" s="7" t="s">
        <v>26</v>
      </c>
      <c r="E152" s="24">
        <v>3201240</v>
      </c>
      <c r="F152" s="9">
        <f t="shared" si="4"/>
        <v>3020037.7358490564</v>
      </c>
      <c r="G152" s="9">
        <f t="shared" si="5"/>
        <v>181202.26415094337</v>
      </c>
    </row>
    <row r="153" spans="2:7" x14ac:dyDescent="0.25">
      <c r="B153" s="23">
        <v>45237</v>
      </c>
      <c r="C153" s="26">
        <v>41</v>
      </c>
      <c r="D153" s="7" t="s">
        <v>64</v>
      </c>
      <c r="E153" s="24">
        <v>360144</v>
      </c>
      <c r="F153" s="9">
        <f t="shared" si="4"/>
        <v>339758.49056603771</v>
      </c>
      <c r="G153" s="9">
        <f t="shared" si="5"/>
        <v>20385.509433962263</v>
      </c>
    </row>
    <row r="154" spans="2:7" x14ac:dyDescent="0.25">
      <c r="B154" s="27">
        <v>45263</v>
      </c>
      <c r="C154" s="38">
        <v>45</v>
      </c>
      <c r="D154" s="28" t="s">
        <v>65</v>
      </c>
      <c r="E154" s="25">
        <v>5099740</v>
      </c>
      <c r="F154" s="9">
        <f t="shared" si="4"/>
        <v>4811075.4716981128</v>
      </c>
      <c r="G154" s="9">
        <f t="shared" si="5"/>
        <v>288664.52830188675</v>
      </c>
    </row>
    <row r="155" spans="2:7" x14ac:dyDescent="0.25">
      <c r="B155" s="23">
        <v>45264</v>
      </c>
      <c r="C155" s="26">
        <v>48</v>
      </c>
      <c r="D155" s="28" t="s">
        <v>55</v>
      </c>
      <c r="E155" s="29">
        <v>237000</v>
      </c>
      <c r="F155" s="9">
        <f t="shared" si="4"/>
        <v>223584.90566037735</v>
      </c>
      <c r="G155" s="9">
        <f t="shared" si="5"/>
        <v>13415.094339622641</v>
      </c>
    </row>
    <row r="156" spans="2:7" x14ac:dyDescent="0.25">
      <c r="B156" s="23">
        <v>45264</v>
      </c>
      <c r="C156" s="26">
        <v>49</v>
      </c>
      <c r="D156" s="28" t="s">
        <v>46</v>
      </c>
      <c r="E156" s="29">
        <v>210000</v>
      </c>
      <c r="F156" s="9">
        <f t="shared" si="4"/>
        <v>198113.20754716979</v>
      </c>
      <c r="G156" s="9">
        <f t="shared" si="5"/>
        <v>11886.792452830186</v>
      </c>
    </row>
    <row r="157" spans="2:7" x14ac:dyDescent="0.25">
      <c r="B157" s="23">
        <v>45264</v>
      </c>
      <c r="C157" s="26">
        <v>50</v>
      </c>
      <c r="D157" s="28" t="s">
        <v>35</v>
      </c>
      <c r="E157" s="29">
        <v>514000</v>
      </c>
      <c r="F157" s="9">
        <f t="shared" si="4"/>
        <v>484905.66037735849</v>
      </c>
      <c r="G157" s="9">
        <f t="shared" si="5"/>
        <v>29094.33962264151</v>
      </c>
    </row>
    <row r="158" spans="2:7" x14ac:dyDescent="0.25">
      <c r="B158" s="23">
        <v>45264</v>
      </c>
      <c r="C158" s="26">
        <v>46</v>
      </c>
      <c r="D158" s="28" t="s">
        <v>26</v>
      </c>
      <c r="E158" s="29">
        <v>7317055</v>
      </c>
      <c r="F158" s="9">
        <f t="shared" si="4"/>
        <v>6902882.0754716974</v>
      </c>
      <c r="G158" s="9">
        <f t="shared" si="5"/>
        <v>414172.92452830181</v>
      </c>
    </row>
    <row r="159" spans="2:7" x14ac:dyDescent="0.25">
      <c r="B159" s="23">
        <v>45271</v>
      </c>
      <c r="C159" s="26">
        <v>63</v>
      </c>
      <c r="D159" s="28" t="s">
        <v>60</v>
      </c>
      <c r="E159" s="29">
        <v>1155891</v>
      </c>
      <c r="F159" s="9">
        <f t="shared" si="4"/>
        <v>1090463.2075471696</v>
      </c>
      <c r="G159" s="9">
        <f t="shared" si="5"/>
        <v>65427.792452830174</v>
      </c>
    </row>
    <row r="160" spans="2:7" x14ac:dyDescent="0.25">
      <c r="B160" s="23">
        <v>45264</v>
      </c>
      <c r="C160" s="26">
        <v>51</v>
      </c>
      <c r="D160" s="28" t="s">
        <v>61</v>
      </c>
      <c r="E160" s="29">
        <v>880628</v>
      </c>
      <c r="F160" s="9">
        <f t="shared" si="4"/>
        <v>830781.13207547169</v>
      </c>
      <c r="G160" s="9">
        <f t="shared" si="5"/>
        <v>49846.867924528298</v>
      </c>
    </row>
    <row r="161" spans="2:7" x14ac:dyDescent="0.25">
      <c r="B161" s="23">
        <v>45271</v>
      </c>
      <c r="C161" s="26">
        <v>62</v>
      </c>
      <c r="D161" s="28" t="s">
        <v>66</v>
      </c>
      <c r="E161" s="29">
        <v>231387</v>
      </c>
      <c r="F161" s="9">
        <f t="shared" si="4"/>
        <v>218289.62264150943</v>
      </c>
      <c r="G161" s="9">
        <f t="shared" si="5"/>
        <v>13097.377358490565</v>
      </c>
    </row>
    <row r="162" spans="2:7" x14ac:dyDescent="0.25">
      <c r="B162" s="23">
        <v>45266</v>
      </c>
      <c r="C162" s="26">
        <v>56</v>
      </c>
      <c r="D162" s="28" t="s">
        <v>67</v>
      </c>
      <c r="E162" s="29">
        <v>230000</v>
      </c>
      <c r="F162" s="9">
        <f t="shared" si="4"/>
        <v>216981.13207547169</v>
      </c>
      <c r="G162" s="9">
        <f t="shared" si="5"/>
        <v>13018.8679245283</v>
      </c>
    </row>
    <row r="163" spans="2:7" x14ac:dyDescent="0.25">
      <c r="B163" s="23">
        <v>45266</v>
      </c>
      <c r="C163" s="26">
        <v>57</v>
      </c>
      <c r="D163" s="28" t="s">
        <v>53</v>
      </c>
      <c r="E163" s="29">
        <v>6356743</v>
      </c>
      <c r="F163" s="9">
        <f t="shared" si="4"/>
        <v>5996927.3584905658</v>
      </c>
      <c r="G163" s="9">
        <f t="shared" si="5"/>
        <v>359815.64150943392</v>
      </c>
    </row>
    <row r="164" spans="2:7" x14ac:dyDescent="0.25">
      <c r="B164" s="23">
        <v>45271</v>
      </c>
      <c r="C164" s="26">
        <v>59</v>
      </c>
      <c r="D164" s="28" t="s">
        <v>53</v>
      </c>
      <c r="E164" s="29">
        <v>1278845</v>
      </c>
      <c r="F164" s="9">
        <f t="shared" si="4"/>
        <v>1206457.5471698113</v>
      </c>
      <c r="G164" s="9">
        <f t="shared" si="5"/>
        <v>72387.452830188675</v>
      </c>
    </row>
    <row r="165" spans="2:7" x14ac:dyDescent="0.25">
      <c r="B165" s="23">
        <v>45266</v>
      </c>
      <c r="C165" s="26">
        <v>58</v>
      </c>
      <c r="D165" s="28" t="s">
        <v>53</v>
      </c>
      <c r="E165" s="29">
        <v>1156282</v>
      </c>
      <c r="F165" s="9">
        <f t="shared" si="4"/>
        <v>1090832.0754716981</v>
      </c>
      <c r="G165" s="9">
        <f t="shared" si="5"/>
        <v>65449.924528301883</v>
      </c>
    </row>
    <row r="166" spans="2:7" x14ac:dyDescent="0.25">
      <c r="B166" s="23">
        <v>45271</v>
      </c>
      <c r="C166" s="26">
        <v>61</v>
      </c>
      <c r="D166" s="28" t="s">
        <v>62</v>
      </c>
      <c r="E166" s="29">
        <v>333244</v>
      </c>
      <c r="F166" s="9">
        <f t="shared" si="4"/>
        <v>314381.13207547169</v>
      </c>
      <c r="G166" s="9">
        <f t="shared" si="5"/>
        <v>18862.867924528302</v>
      </c>
    </row>
    <row r="167" spans="2:7" x14ac:dyDescent="0.25">
      <c r="B167" s="23">
        <v>44961</v>
      </c>
      <c r="C167" s="26">
        <v>52</v>
      </c>
      <c r="D167" s="28" t="s">
        <v>12</v>
      </c>
      <c r="E167" s="29">
        <v>5685283</v>
      </c>
      <c r="F167" s="9">
        <f t="shared" si="4"/>
        <v>5363474.5283018863</v>
      </c>
      <c r="G167" s="9">
        <f t="shared" si="5"/>
        <v>321808.47169811319</v>
      </c>
    </row>
    <row r="168" spans="2:7" x14ac:dyDescent="0.25">
      <c r="B168" s="23">
        <v>45264</v>
      </c>
      <c r="C168" s="26">
        <v>55</v>
      </c>
      <c r="D168" s="28" t="s">
        <v>68</v>
      </c>
      <c r="E168" s="29">
        <v>2745161</v>
      </c>
      <c r="F168" s="9">
        <f t="shared" si="4"/>
        <v>2589774.5283018867</v>
      </c>
      <c r="G168" s="9">
        <f t="shared" si="5"/>
        <v>155386.47169811319</v>
      </c>
    </row>
    <row r="169" spans="2:7" x14ac:dyDescent="0.25">
      <c r="B169" s="23">
        <v>45264</v>
      </c>
      <c r="C169" s="26">
        <v>53</v>
      </c>
      <c r="D169" s="28" t="s">
        <v>30</v>
      </c>
      <c r="E169" s="29">
        <v>2275599</v>
      </c>
      <c r="F169" s="9">
        <f t="shared" si="4"/>
        <v>2146791.5094339619</v>
      </c>
      <c r="G169" s="9">
        <f t="shared" si="5"/>
        <v>128807.49056603771</v>
      </c>
    </row>
    <row r="170" spans="2:7" x14ac:dyDescent="0.25">
      <c r="B170" s="23">
        <v>45271</v>
      </c>
      <c r="C170" s="26">
        <v>60</v>
      </c>
      <c r="D170" s="28" t="s">
        <v>64</v>
      </c>
      <c r="E170" s="29">
        <v>1189043</v>
      </c>
      <c r="F170" s="9">
        <f t="shared" si="4"/>
        <v>1121738.6792452829</v>
      </c>
      <c r="G170" s="9">
        <f t="shared" si="5"/>
        <v>67304.320754716973</v>
      </c>
    </row>
    <row r="171" spans="2:7" x14ac:dyDescent="0.25">
      <c r="B171" s="23">
        <v>45291</v>
      </c>
      <c r="C171" s="26">
        <v>64</v>
      </c>
      <c r="D171" s="30" t="s">
        <v>60</v>
      </c>
      <c r="E171" s="29">
        <v>4811240</v>
      </c>
      <c r="F171" s="9">
        <f t="shared" si="4"/>
        <v>4538905.6603773581</v>
      </c>
      <c r="G171" s="9">
        <f t="shared" si="5"/>
        <v>272334.33962264145</v>
      </c>
    </row>
    <row r="172" spans="2:7" x14ac:dyDescent="0.25">
      <c r="B172" s="23">
        <v>45291</v>
      </c>
      <c r="C172" s="26">
        <v>65</v>
      </c>
      <c r="D172" s="7" t="s">
        <v>69</v>
      </c>
      <c r="E172" s="24">
        <v>485000</v>
      </c>
      <c r="F172" s="9">
        <f t="shared" si="4"/>
        <v>457547.16981132072</v>
      </c>
      <c r="G172" s="9">
        <f t="shared" si="5"/>
        <v>27452.830188679243</v>
      </c>
    </row>
    <row r="173" spans="2:7" x14ac:dyDescent="0.25">
      <c r="B173" s="23">
        <v>45291</v>
      </c>
      <c r="C173" s="26">
        <v>66</v>
      </c>
      <c r="D173" s="7" t="s">
        <v>46</v>
      </c>
      <c r="E173" s="24">
        <v>210000</v>
      </c>
      <c r="F173" s="9">
        <f t="shared" si="4"/>
        <v>198113.20754716979</v>
      </c>
      <c r="G173" s="9">
        <f t="shared" si="5"/>
        <v>11886.792452830186</v>
      </c>
    </row>
    <row r="174" spans="2:7" x14ac:dyDescent="0.25">
      <c r="B174" s="23">
        <v>45291</v>
      </c>
      <c r="C174" s="26">
        <v>67</v>
      </c>
      <c r="D174" s="7" t="s">
        <v>35</v>
      </c>
      <c r="E174" s="24">
        <v>514000</v>
      </c>
      <c r="F174" s="9">
        <f t="shared" si="4"/>
        <v>484905.66037735849</v>
      </c>
      <c r="G174" s="9">
        <f t="shared" si="5"/>
        <v>29094.33962264151</v>
      </c>
    </row>
    <row r="175" spans="2:7" x14ac:dyDescent="0.25">
      <c r="B175" s="23">
        <v>45291</v>
      </c>
      <c r="C175" s="26">
        <v>68</v>
      </c>
      <c r="D175" s="7" t="s">
        <v>55</v>
      </c>
      <c r="E175" s="24">
        <v>237000</v>
      </c>
      <c r="F175" s="9">
        <f t="shared" si="4"/>
        <v>223584.90566037735</v>
      </c>
      <c r="G175" s="9">
        <f t="shared" si="5"/>
        <v>13415.094339622641</v>
      </c>
    </row>
    <row r="176" spans="2:7" x14ac:dyDescent="0.25">
      <c r="B176" s="23">
        <v>45291</v>
      </c>
      <c r="C176" s="26">
        <v>69</v>
      </c>
      <c r="D176" s="7" t="s">
        <v>30</v>
      </c>
      <c r="E176" s="24">
        <v>2176899</v>
      </c>
      <c r="F176" s="9">
        <f t="shared" si="4"/>
        <v>2053678.3018867923</v>
      </c>
      <c r="G176" s="9">
        <f t="shared" si="5"/>
        <v>123220.69811320753</v>
      </c>
    </row>
    <row r="177" spans="2:7" x14ac:dyDescent="0.25">
      <c r="B177" s="23">
        <v>45291</v>
      </c>
      <c r="C177" s="26">
        <v>70</v>
      </c>
      <c r="D177" s="7" t="s">
        <v>12</v>
      </c>
      <c r="E177" s="24">
        <v>5512385</v>
      </c>
      <c r="F177" s="9">
        <f t="shared" si="4"/>
        <v>5200363.2075471692</v>
      </c>
      <c r="G177" s="9">
        <f t="shared" si="5"/>
        <v>312021.79245283012</v>
      </c>
    </row>
    <row r="178" spans="2:7" x14ac:dyDescent="0.25">
      <c r="B178" s="23">
        <v>45291</v>
      </c>
      <c r="C178" s="26">
        <v>71</v>
      </c>
      <c r="D178" s="7" t="s">
        <v>61</v>
      </c>
      <c r="E178" s="24">
        <v>809472</v>
      </c>
      <c r="F178" s="9">
        <f t="shared" si="4"/>
        <v>763652.83018867916</v>
      </c>
      <c r="G178" s="9">
        <f t="shared" si="5"/>
        <v>45819.169811320746</v>
      </c>
    </row>
    <row r="179" spans="2:7" x14ac:dyDescent="0.25">
      <c r="B179" s="23">
        <v>45291</v>
      </c>
      <c r="C179" s="26">
        <v>72</v>
      </c>
      <c r="D179" s="10" t="s">
        <v>70</v>
      </c>
      <c r="E179" s="24">
        <v>533149</v>
      </c>
      <c r="F179" s="9">
        <f t="shared" si="4"/>
        <v>502970.75471698109</v>
      </c>
      <c r="G179" s="9">
        <f t="shared" si="5"/>
        <v>30178.245283018863</v>
      </c>
    </row>
    <row r="180" spans="2:7" x14ac:dyDescent="0.25">
      <c r="B180" s="23">
        <v>45291</v>
      </c>
      <c r="C180" s="26">
        <v>74</v>
      </c>
      <c r="D180" s="7" t="s">
        <v>71</v>
      </c>
      <c r="E180" s="24">
        <v>169782</v>
      </c>
      <c r="F180" s="9">
        <f t="shared" si="4"/>
        <v>160171.69811320753</v>
      </c>
      <c r="G180" s="9">
        <f t="shared" si="5"/>
        <v>9610.3018867924511</v>
      </c>
    </row>
    <row r="181" spans="2:7" x14ac:dyDescent="0.25">
      <c r="B181" s="23">
        <v>45291</v>
      </c>
      <c r="C181" s="26">
        <v>80</v>
      </c>
      <c r="D181" s="7" t="s">
        <v>62</v>
      </c>
      <c r="E181" s="24">
        <v>356150</v>
      </c>
      <c r="F181" s="9">
        <f t="shared" si="4"/>
        <v>335990.56603773584</v>
      </c>
      <c r="G181" s="9">
        <f t="shared" si="5"/>
        <v>20159.433962264149</v>
      </c>
    </row>
    <row r="182" spans="2:7" x14ac:dyDescent="0.25">
      <c r="B182" s="23">
        <v>45291</v>
      </c>
      <c r="C182" s="26">
        <v>84</v>
      </c>
      <c r="D182" s="7" t="s">
        <v>26</v>
      </c>
      <c r="E182" s="24">
        <v>7317055</v>
      </c>
      <c r="F182" s="9">
        <f t="shared" si="4"/>
        <v>6902882.0754716974</v>
      </c>
      <c r="G182" s="9">
        <f t="shared" si="5"/>
        <v>414172.92452830181</v>
      </c>
    </row>
    <row r="183" spans="2:7" x14ac:dyDescent="0.25">
      <c r="B183" s="23">
        <v>45291</v>
      </c>
      <c r="C183" s="26">
        <v>86</v>
      </c>
      <c r="D183" s="7" t="s">
        <v>26</v>
      </c>
      <c r="E183" s="24">
        <v>2329820</v>
      </c>
      <c r="F183" s="9">
        <f t="shared" si="4"/>
        <v>2197943.3962264149</v>
      </c>
      <c r="G183" s="9">
        <f t="shared" si="5"/>
        <v>131876.60377358488</v>
      </c>
    </row>
    <row r="184" spans="2:7" x14ac:dyDescent="0.25">
      <c r="B184" s="41" t="s">
        <v>15</v>
      </c>
      <c r="C184" s="42"/>
      <c r="D184" s="2"/>
      <c r="E184" s="32">
        <f>SUM(E7:E183)</f>
        <v>345802106</v>
      </c>
      <c r="F184" s="9">
        <f t="shared" si="4"/>
        <v>326228401.88679242</v>
      </c>
      <c r="G184" s="9">
        <f t="shared" si="5"/>
        <v>19573704.113207545</v>
      </c>
    </row>
    <row r="395" spans="3:3" x14ac:dyDescent="0.25">
      <c r="C395" s="31"/>
    </row>
    <row r="396" spans="3:3" x14ac:dyDescent="0.25">
      <c r="C396" s="31"/>
    </row>
    <row r="397" spans="3:3" x14ac:dyDescent="0.25">
      <c r="C397" s="31"/>
    </row>
    <row r="398" spans="3:3" x14ac:dyDescent="0.25">
      <c r="C398" s="31"/>
    </row>
    <row r="399" spans="3:3" x14ac:dyDescent="0.25">
      <c r="C399" s="31"/>
    </row>
    <row r="400" spans="3:3" x14ac:dyDescent="0.25">
      <c r="C400" s="31"/>
    </row>
    <row r="401" spans="3:3" x14ac:dyDescent="0.25">
      <c r="C401" s="31"/>
    </row>
    <row r="402" spans="3:3" x14ac:dyDescent="0.25">
      <c r="C402" s="31"/>
    </row>
    <row r="403" spans="3:3" x14ac:dyDescent="0.25">
      <c r="C403" s="31"/>
    </row>
    <row r="404" spans="3:3" x14ac:dyDescent="0.25">
      <c r="C404" s="31"/>
    </row>
    <row r="405" spans="3:3" x14ac:dyDescent="0.25">
      <c r="C405" s="31"/>
    </row>
    <row r="406" spans="3:3" x14ac:dyDescent="0.25">
      <c r="C406" s="31"/>
    </row>
  </sheetData>
  <mergeCells count="1">
    <mergeCell ref="B184:C1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 2021</vt:lpstr>
      <vt:lpstr>CA 2022</vt:lpstr>
      <vt:lpstr>CA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Noel</dc:creator>
  <cp:lastModifiedBy>Assistance Technique 225</cp:lastModifiedBy>
  <dcterms:created xsi:type="dcterms:W3CDTF">2024-05-23T14:33:06Z</dcterms:created>
  <dcterms:modified xsi:type="dcterms:W3CDTF">2025-08-11T19:31:41Z</dcterms:modified>
</cp:coreProperties>
</file>