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on Drive\Assistance Technique 225\Mon Dossier - EP\8. Pitch Vente AT225\"/>
    </mc:Choice>
  </mc:AlternateContent>
  <xr:revisionPtr revIDLastSave="0" documentId="8_{4E6DC8EE-0E62-4224-A167-724A3682FB7E}" xr6:coauthVersionLast="47" xr6:coauthVersionMax="47" xr10:uidLastSave="{00000000-0000-0000-0000-000000000000}"/>
  <bookViews>
    <workbookView xWindow="25695" yWindow="0" windowWidth="26010" windowHeight="20985" xr2:uid="{2F6C99EF-7DB4-43B1-AA11-AB4283B1953F}"/>
  </bookViews>
  <sheets>
    <sheet name="CA TOTAL" sheetId="6" r:id="rId1"/>
    <sheet name="Janvier" sheetId="1" r:id="rId2"/>
    <sheet name="Février" sheetId="2" r:id="rId3"/>
    <sheet name="Mars" sheetId="3" r:id="rId4"/>
    <sheet name="Avril" sheetId="4" r:id="rId5"/>
    <sheet name="Mai" sheetId="5" r:id="rId6"/>
    <sheet name="JUIN" sheetId="7" r:id="rId7"/>
    <sheet name="JUILLET" sheetId="8" r:id="rId8"/>
    <sheet name="AOUT" sheetId="9" r:id="rId9"/>
    <sheet name="SEPTEMBRE" sheetId="10" r:id="rId10"/>
    <sheet name="OCTOBRE" sheetId="11" r:id="rId11"/>
    <sheet name="NOVEMBRE" sheetId="12" r:id="rId12"/>
    <sheet name="DECEMBRE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4" i="6" l="1"/>
  <c r="A214" i="6"/>
  <c r="A215" i="6"/>
  <c r="A216" i="6"/>
  <c r="A217" i="6"/>
  <c r="A218" i="6"/>
  <c r="A219" i="6"/>
  <c r="A220" i="6"/>
  <c r="A221" i="6"/>
  <c r="A222" i="6"/>
  <c r="A223" i="6"/>
  <c r="G8" i="13"/>
  <c r="G12" i="13"/>
  <c r="E32" i="12"/>
  <c r="G8" i="12"/>
  <c r="G9" i="12"/>
  <c r="G10" i="12"/>
  <c r="F33" i="13"/>
  <c r="E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1" i="13"/>
  <c r="G10" i="13"/>
  <c r="G9" i="13"/>
  <c r="G7" i="13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8" i="6"/>
  <c r="F32" i="12"/>
  <c r="G31" i="12"/>
  <c r="G30" i="12"/>
  <c r="G29" i="12"/>
  <c r="G28" i="12"/>
  <c r="G27" i="12"/>
  <c r="G26" i="12"/>
  <c r="G25" i="12"/>
  <c r="G24" i="12"/>
  <c r="G23" i="12"/>
  <c r="G21" i="12"/>
  <c r="G20" i="12"/>
  <c r="G19" i="12"/>
  <c r="G18" i="12"/>
  <c r="G17" i="12"/>
  <c r="G16" i="12"/>
  <c r="G15" i="12"/>
  <c r="G14" i="12"/>
  <c r="G13" i="12"/>
  <c r="G12" i="12"/>
  <c r="G11" i="12"/>
  <c r="G7" i="12"/>
  <c r="F31" i="11"/>
  <c r="E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E30" i="8"/>
  <c r="G29" i="8"/>
  <c r="F31" i="10"/>
  <c r="E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F31" i="9"/>
  <c r="E31" i="9"/>
  <c r="G31" i="9" s="1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25" i="7"/>
  <c r="F30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28" i="7"/>
  <c r="G29" i="7"/>
  <c r="G30" i="7"/>
  <c r="G7" i="7"/>
  <c r="F32" i="7"/>
  <c r="E32" i="7"/>
  <c r="G31" i="7"/>
  <c r="G27" i="7"/>
  <c r="G26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25" i="5"/>
  <c r="G26" i="5"/>
  <c r="G12" i="5"/>
  <c r="G11" i="5"/>
  <c r="G15" i="5"/>
  <c r="G14" i="5"/>
  <c r="F28" i="5"/>
  <c r="E28" i="5"/>
  <c r="G27" i="5"/>
  <c r="G24" i="5"/>
  <c r="G23" i="5"/>
  <c r="G22" i="5"/>
  <c r="G21" i="5"/>
  <c r="G20" i="5"/>
  <c r="G19" i="5"/>
  <c r="G18" i="5"/>
  <c r="G17" i="5"/>
  <c r="G16" i="5"/>
  <c r="G13" i="5"/>
  <c r="G10" i="5"/>
  <c r="G9" i="5"/>
  <c r="G8" i="5"/>
  <c r="G7" i="5"/>
  <c r="G25" i="4"/>
  <c r="G26" i="4"/>
  <c r="F27" i="4"/>
  <c r="E27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F26" i="3"/>
  <c r="E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26" i="2"/>
  <c r="G27" i="2"/>
  <c r="G28" i="2"/>
  <c r="G25" i="2"/>
  <c r="F29" i="2"/>
  <c r="E29" i="2"/>
  <c r="G29" i="2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25" i="1"/>
  <c r="G24" i="1"/>
  <c r="G23" i="1"/>
  <c r="G22" i="1"/>
  <c r="G21" i="1"/>
  <c r="G20" i="1"/>
  <c r="G19" i="1"/>
  <c r="G18" i="1"/>
  <c r="G8" i="1"/>
  <c r="G9" i="1"/>
  <c r="G10" i="1"/>
  <c r="G11" i="1"/>
  <c r="G12" i="1"/>
  <c r="G13" i="1"/>
  <c r="G14" i="1"/>
  <c r="G15" i="1"/>
  <c r="G16" i="1"/>
  <c r="G17" i="1"/>
  <c r="F26" i="1"/>
  <c r="E26" i="1"/>
  <c r="G7" i="1"/>
  <c r="G33" i="13" l="1"/>
  <c r="G32" i="12"/>
  <c r="G31" i="11"/>
  <c r="G31" i="10"/>
  <c r="G32" i="7"/>
  <c r="G28" i="5"/>
  <c r="G27" i="4"/>
  <c r="G26" i="3"/>
  <c r="G26" i="1"/>
</calcChain>
</file>

<file path=xl/sharedStrings.xml><?xml version="1.0" encoding="utf-8"?>
<sst xmlns="http://schemas.openxmlformats.org/spreadsheetml/2006/main" count="561" uniqueCount="66">
  <si>
    <t xml:space="preserve">NOMBRE </t>
  </si>
  <si>
    <t>DATES</t>
  </si>
  <si>
    <t>N° DE FACTURE</t>
  </si>
  <si>
    <t>NOM DU CLIENT</t>
  </si>
  <si>
    <t>MONTANTS</t>
  </si>
  <si>
    <t>REGLE</t>
  </si>
  <si>
    <t>RESTE</t>
  </si>
  <si>
    <t>TIPICI</t>
  </si>
  <si>
    <t>SEURECA CI</t>
  </si>
  <si>
    <t>SICMA</t>
  </si>
  <si>
    <t>GERALDINE SERRAT</t>
  </si>
  <si>
    <t>FREDERIC VENE</t>
  </si>
  <si>
    <t>TOTAL</t>
  </si>
  <si>
    <t>CHIFFRES D'AFFAIRES 2024</t>
  </si>
  <si>
    <t>FORTIL I,S LIMITED</t>
  </si>
  <si>
    <t>Mme Tajoo Pauline</t>
  </si>
  <si>
    <t>ART MANUTENTION LEVAGE TRANSPORT</t>
  </si>
  <si>
    <t>BESSAC AFRIQUE</t>
  </si>
  <si>
    <t>INEXENCE REALISATION AFRIQUE</t>
  </si>
  <si>
    <t>NMSI</t>
  </si>
  <si>
    <t>ARTHUR AUJAMES</t>
  </si>
  <si>
    <t>ATR MANUTENTION LEVAGE TRANSPORT</t>
  </si>
  <si>
    <t>PN Cote D'Ivoire</t>
  </si>
  <si>
    <t>SOCOTRA</t>
  </si>
  <si>
    <t>INEXENCE REALISATION</t>
  </si>
  <si>
    <t>INS-IT SAS</t>
  </si>
  <si>
    <t>Mme TAJOO PAULINE</t>
  </si>
  <si>
    <t>SIEE Cote d'Ivoire</t>
  </si>
  <si>
    <t>FMA SERVICES CONSTRUCTION INTER</t>
  </si>
  <si>
    <t>AFRIKABRIK CONSTRUCTION</t>
  </si>
  <si>
    <t>H-BTP</t>
  </si>
  <si>
    <t>FRANZETTI CI</t>
  </si>
  <si>
    <t>SOCATRA</t>
  </si>
  <si>
    <t>ARTUR AUJAMES</t>
  </si>
  <si>
    <t>SIEE COTE D'IVOIRE</t>
  </si>
  <si>
    <t>CHIFFRES D'AFFAIRES  2024</t>
  </si>
  <si>
    <t>Seureca CI</t>
  </si>
  <si>
    <t>INEXENCE GROUP</t>
  </si>
  <si>
    <t>CIGRC CI</t>
  </si>
  <si>
    <t>FMA SERVICES CONSTRUCTION ITERNATIONAL</t>
  </si>
  <si>
    <t xml:space="preserve">SICMA  </t>
  </si>
  <si>
    <t>Géraldine Serrat</t>
  </si>
  <si>
    <t>Arthur Aujames</t>
  </si>
  <si>
    <t xml:space="preserve">CDE </t>
  </si>
  <si>
    <t>ARthur Aujames</t>
  </si>
  <si>
    <t>TAJOO PAULINE</t>
  </si>
  <si>
    <t>P§N Cote D'Ivoire</t>
  </si>
  <si>
    <t>Layher Cote D'Ivoire</t>
  </si>
  <si>
    <t>avant-garde Immobilier</t>
  </si>
  <si>
    <t>bESSAC AFRIQUE</t>
  </si>
  <si>
    <t>KUYO PIPELINE</t>
  </si>
  <si>
    <t>SCANIA CI</t>
  </si>
  <si>
    <t>Client CDE</t>
  </si>
  <si>
    <t>Geradine Serrat</t>
  </si>
  <si>
    <t>FORTIL I.S Limited</t>
  </si>
  <si>
    <t>SNEF SERVICES</t>
  </si>
  <si>
    <t>SIEE Cote d'Ivore</t>
  </si>
  <si>
    <t>Frederic Vene</t>
  </si>
  <si>
    <t>Artur Aujames</t>
  </si>
  <si>
    <t>AVANT-GARDE IMMOBILIER(AVGI)</t>
  </si>
  <si>
    <t>Bessac Afrique</t>
  </si>
  <si>
    <t>OBSERVATIONS</t>
  </si>
  <si>
    <t>Geraldine Serrat</t>
  </si>
  <si>
    <t>Aurore Berthelt</t>
  </si>
  <si>
    <t>avant-garde Immobilier (AVGI)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</si>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</sst>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\ _C_F_A_-;\-* #,##0\ _C_F_A_-;_-* &quot;-&quot;\ _C_F_A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41" fontId="0" fillId="0" borderId="1" xfId="1" applyFont="1" applyBorder="1"/>
    <xf numFmtId="0" fontId="0" fillId="0" borderId="1" xfId="0" applyBorder="1"/>
    <xf numFmtId="41" fontId="0" fillId="0" borderId="1" xfId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41" fontId="2" fillId="0" borderId="1" xfId="1" applyFont="1" applyBorder="1"/>
    <xf numFmtId="41" fontId="2" fillId="0" borderId="1" xfId="1" applyFont="1" applyBorder="1" applyAlignment="1">
      <alignment horizontal="center"/>
    </xf>
    <xf numFmtId="164" fontId="2" fillId="0" borderId="1" xfId="0" applyNumberFormat="1" applyFont="1" applyBorder="1"/>
    <xf numFmtId="41" fontId="0" fillId="0" borderId="0" xfId="1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/>
    <xf numFmtId="41" fontId="0" fillId="0" borderId="4" xfId="1" applyFont="1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1" fontId="2" fillId="2" borderId="1" xfId="0" applyNumberFormat="1" applyFont="1" applyFill="1" applyBorder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EDF6-C64A-46FE-971F-A4E0C0417780}">
  <dimension ref="A4:F224"/>
  <sheetViews>
    <sheetView tabSelected="1" topLeftCell="A200" zoomScale="104" workbookViewId="0">
      <selection activeCell="E216" sqref="E216:E223"/>
    </sheetView>
  </sheetViews>
  <sheetFormatPr baseColWidth="10" defaultRowHeight="15" x14ac:dyDescent="0.25"/>
  <cols>
    <col min="3" max="3" width="15.140625" customWidth="1"/>
    <col min="4" max="4" width="37.140625" customWidth="1"/>
    <col min="5" max="5" width="21.5703125" customWidth="1"/>
    <col min="6" max="6" width="16.28515625" customWidth="1"/>
  </cols>
  <sheetData>
    <row r="4" spans="1:6" ht="18.75" x14ac:dyDescent="0.3">
      <c r="B4" s="16" t="s">
        <v>35</v>
      </c>
      <c r="C4" s="17"/>
      <c r="D4" s="17"/>
    </row>
    <row r="5" spans="1:6" ht="18.75" x14ac:dyDescent="0.3">
      <c r="B5" s="16"/>
      <c r="C5" s="17"/>
      <c r="D5" s="17"/>
    </row>
    <row r="6" spans="1:6" ht="18.75" x14ac:dyDescent="0.3">
      <c r="B6" s="16"/>
      <c r="C6" s="17"/>
      <c r="D6" s="17"/>
    </row>
    <row r="7" spans="1:6" x14ac:dyDescent="0.25">
      <c r="A7" s="2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61</v>
      </c>
    </row>
    <row r="8" spans="1:6" x14ac:dyDescent="0.25">
      <c r="A8" s="18">
        <f>ROW(LA1)</f>
        <v>1</v>
      </c>
      <c r="B8" s="6">
        <v>45323</v>
      </c>
      <c r="C8" s="7">
        <v>88</v>
      </c>
      <c r="D8" s="8" t="s">
        <v>14</v>
      </c>
      <c r="E8" s="7">
        <v>1658336</v>
      </c>
      <c r="F8" s="8"/>
    </row>
    <row r="9" spans="1:6" x14ac:dyDescent="0.25">
      <c r="A9" s="18">
        <f t="shared" ref="A9:A72" si="0">ROW(LA2)</f>
        <v>2</v>
      </c>
      <c r="B9" s="6">
        <v>45323</v>
      </c>
      <c r="C9" s="7">
        <v>89</v>
      </c>
      <c r="D9" s="8" t="s">
        <v>15</v>
      </c>
      <c r="E9" s="7">
        <v>138099</v>
      </c>
      <c r="F9" s="8"/>
    </row>
    <row r="10" spans="1:6" x14ac:dyDescent="0.25">
      <c r="A10" s="18">
        <f t="shared" si="0"/>
        <v>3</v>
      </c>
      <c r="B10" s="6">
        <v>45327</v>
      </c>
      <c r="C10" s="7">
        <v>90</v>
      </c>
      <c r="D10" s="8" t="s">
        <v>16</v>
      </c>
      <c r="E10" s="7">
        <v>301012</v>
      </c>
      <c r="F10" s="8"/>
    </row>
    <row r="11" spans="1:6" x14ac:dyDescent="0.25">
      <c r="A11" s="18">
        <f t="shared" si="0"/>
        <v>4</v>
      </c>
      <c r="B11" s="6">
        <v>45327</v>
      </c>
      <c r="C11" s="7">
        <v>91</v>
      </c>
      <c r="D11" s="8" t="s">
        <v>17</v>
      </c>
      <c r="E11" s="7">
        <v>1216849</v>
      </c>
      <c r="F11" s="8"/>
    </row>
    <row r="12" spans="1:6" x14ac:dyDescent="0.25">
      <c r="A12" s="18">
        <f t="shared" si="0"/>
        <v>5</v>
      </c>
      <c r="B12" s="6">
        <v>45327</v>
      </c>
      <c r="C12" s="7">
        <v>92</v>
      </c>
      <c r="D12" s="8" t="s">
        <v>17</v>
      </c>
      <c r="E12" s="7">
        <v>385847</v>
      </c>
      <c r="F12" s="8"/>
    </row>
    <row r="13" spans="1:6" x14ac:dyDescent="0.25">
      <c r="A13" s="18">
        <f t="shared" si="0"/>
        <v>6</v>
      </c>
      <c r="B13" s="6">
        <v>45327</v>
      </c>
      <c r="C13" s="7">
        <v>93</v>
      </c>
      <c r="D13" s="8" t="s">
        <v>8</v>
      </c>
      <c r="E13" s="7">
        <v>2671270</v>
      </c>
      <c r="F13" s="8"/>
    </row>
    <row r="14" spans="1:6" x14ac:dyDescent="0.25">
      <c r="A14" s="18">
        <f t="shared" si="0"/>
        <v>7</v>
      </c>
      <c r="B14" s="6">
        <v>45327</v>
      </c>
      <c r="C14" s="7">
        <v>94</v>
      </c>
      <c r="D14" s="8" t="s">
        <v>18</v>
      </c>
      <c r="E14" s="7">
        <v>795023</v>
      </c>
      <c r="F14" s="8"/>
    </row>
    <row r="15" spans="1:6" x14ac:dyDescent="0.25">
      <c r="A15" s="18">
        <f t="shared" si="0"/>
        <v>8</v>
      </c>
      <c r="B15" s="6">
        <v>45327</v>
      </c>
      <c r="C15" s="7">
        <v>95</v>
      </c>
      <c r="D15" s="8" t="s">
        <v>18</v>
      </c>
      <c r="E15" s="7">
        <v>1450652</v>
      </c>
      <c r="F15" s="8"/>
    </row>
    <row r="16" spans="1:6" x14ac:dyDescent="0.25">
      <c r="A16" s="18">
        <f t="shared" si="0"/>
        <v>9</v>
      </c>
      <c r="B16" s="6">
        <v>45327</v>
      </c>
      <c r="C16" s="7">
        <v>96</v>
      </c>
      <c r="D16" s="8" t="s">
        <v>18</v>
      </c>
      <c r="E16" s="7">
        <v>278011</v>
      </c>
      <c r="F16" s="8"/>
    </row>
    <row r="17" spans="1:6" x14ac:dyDescent="0.25">
      <c r="A17" s="18">
        <f t="shared" si="0"/>
        <v>10</v>
      </c>
      <c r="B17" s="6">
        <v>45327</v>
      </c>
      <c r="C17" s="7">
        <v>97</v>
      </c>
      <c r="D17" s="8" t="s">
        <v>18</v>
      </c>
      <c r="E17" s="7">
        <v>489041</v>
      </c>
      <c r="F17" s="8"/>
    </row>
    <row r="18" spans="1:6" x14ac:dyDescent="0.25">
      <c r="A18" s="18">
        <f t="shared" si="0"/>
        <v>11</v>
      </c>
      <c r="B18" s="6">
        <v>45327</v>
      </c>
      <c r="C18" s="7">
        <v>98</v>
      </c>
      <c r="D18" s="8" t="s">
        <v>18</v>
      </c>
      <c r="E18" s="7">
        <v>167461</v>
      </c>
      <c r="F18" s="8"/>
    </row>
    <row r="19" spans="1:6" x14ac:dyDescent="0.25">
      <c r="A19" s="18">
        <f t="shared" si="0"/>
        <v>12</v>
      </c>
      <c r="B19" s="6">
        <v>45327</v>
      </c>
      <c r="C19" s="7">
        <v>99</v>
      </c>
      <c r="D19" s="8" t="s">
        <v>19</v>
      </c>
      <c r="E19" s="7">
        <v>5341991</v>
      </c>
      <c r="F19" s="8"/>
    </row>
    <row r="20" spans="1:6" x14ac:dyDescent="0.25">
      <c r="A20" s="18">
        <f t="shared" si="0"/>
        <v>13</v>
      </c>
      <c r="B20" s="6">
        <v>45327</v>
      </c>
      <c r="C20" s="7">
        <v>100</v>
      </c>
      <c r="D20" s="8" t="s">
        <v>20</v>
      </c>
      <c r="E20" s="7">
        <v>237000</v>
      </c>
      <c r="F20" s="8"/>
    </row>
    <row r="21" spans="1:6" x14ac:dyDescent="0.25">
      <c r="A21" s="18">
        <f t="shared" si="0"/>
        <v>14</v>
      </c>
      <c r="B21" s="6">
        <v>45327</v>
      </c>
      <c r="C21" s="7">
        <v>101</v>
      </c>
      <c r="D21" s="8" t="s">
        <v>10</v>
      </c>
      <c r="E21" s="7">
        <v>210000</v>
      </c>
      <c r="F21" s="8"/>
    </row>
    <row r="22" spans="1:6" x14ac:dyDescent="0.25">
      <c r="A22" s="18">
        <f t="shared" si="0"/>
        <v>15</v>
      </c>
      <c r="B22" s="6">
        <v>45327</v>
      </c>
      <c r="C22" s="7">
        <v>102</v>
      </c>
      <c r="D22" s="8" t="s">
        <v>11</v>
      </c>
      <c r="E22" s="7">
        <v>514000</v>
      </c>
      <c r="F22" s="8"/>
    </row>
    <row r="23" spans="1:6" x14ac:dyDescent="0.25">
      <c r="A23" s="18">
        <f t="shared" si="0"/>
        <v>16</v>
      </c>
      <c r="B23" s="6">
        <v>45327</v>
      </c>
      <c r="C23" s="7">
        <v>103</v>
      </c>
      <c r="D23" s="8" t="s">
        <v>7</v>
      </c>
      <c r="E23" s="7">
        <v>4023848</v>
      </c>
      <c r="F23" s="8"/>
    </row>
    <row r="24" spans="1:6" x14ac:dyDescent="0.25">
      <c r="A24" s="18">
        <f t="shared" si="0"/>
        <v>17</v>
      </c>
      <c r="B24" s="6">
        <v>45327</v>
      </c>
      <c r="C24" s="7">
        <v>104</v>
      </c>
      <c r="D24" s="8" t="s">
        <v>7</v>
      </c>
      <c r="E24" s="7">
        <v>859838</v>
      </c>
      <c r="F24" s="8"/>
    </row>
    <row r="25" spans="1:6" x14ac:dyDescent="0.25">
      <c r="A25" s="18">
        <f t="shared" si="0"/>
        <v>18</v>
      </c>
      <c r="B25" s="6">
        <v>45327</v>
      </c>
      <c r="C25" s="7">
        <v>105</v>
      </c>
      <c r="D25" s="8" t="s">
        <v>9</v>
      </c>
      <c r="E25" s="7">
        <v>1744720</v>
      </c>
      <c r="F25" s="8"/>
    </row>
    <row r="26" spans="1:6" x14ac:dyDescent="0.25">
      <c r="A26" s="18">
        <f t="shared" si="0"/>
        <v>19</v>
      </c>
      <c r="B26" s="6">
        <v>45328</v>
      </c>
      <c r="C26" s="7">
        <v>106</v>
      </c>
      <c r="D26" s="8" t="s">
        <v>8</v>
      </c>
      <c r="E26" s="7">
        <v>4376728</v>
      </c>
      <c r="F26" s="8"/>
    </row>
    <row r="27" spans="1:6" x14ac:dyDescent="0.25">
      <c r="A27" s="18">
        <f t="shared" si="0"/>
        <v>20</v>
      </c>
      <c r="B27" s="6">
        <v>45352</v>
      </c>
      <c r="C27" s="7">
        <v>107</v>
      </c>
      <c r="D27" s="8" t="s">
        <v>19</v>
      </c>
      <c r="E27" s="7">
        <v>5498043</v>
      </c>
      <c r="F27" s="8"/>
    </row>
    <row r="28" spans="1:6" x14ac:dyDescent="0.25">
      <c r="A28" s="18">
        <f t="shared" si="0"/>
        <v>21</v>
      </c>
      <c r="B28" s="6">
        <v>45352</v>
      </c>
      <c r="C28" s="7">
        <v>108</v>
      </c>
      <c r="D28" s="8" t="s">
        <v>17</v>
      </c>
      <c r="E28" s="7">
        <v>1308810</v>
      </c>
      <c r="F28" s="8"/>
    </row>
    <row r="29" spans="1:6" x14ac:dyDescent="0.25">
      <c r="A29" s="18">
        <f t="shared" si="0"/>
        <v>22</v>
      </c>
      <c r="B29" s="6">
        <v>45352</v>
      </c>
      <c r="C29" s="7">
        <v>109</v>
      </c>
      <c r="D29" s="8" t="s">
        <v>17</v>
      </c>
      <c r="E29" s="7">
        <v>398462</v>
      </c>
      <c r="F29" s="8"/>
    </row>
    <row r="30" spans="1:6" x14ac:dyDescent="0.25">
      <c r="A30" s="18">
        <f t="shared" si="0"/>
        <v>23</v>
      </c>
      <c r="B30" s="6">
        <v>45352</v>
      </c>
      <c r="C30" s="7">
        <v>110</v>
      </c>
      <c r="D30" s="8" t="s">
        <v>7</v>
      </c>
      <c r="E30" s="7">
        <v>2491456</v>
      </c>
      <c r="F30" s="8"/>
    </row>
    <row r="31" spans="1:6" x14ac:dyDescent="0.25">
      <c r="A31" s="18">
        <f t="shared" si="0"/>
        <v>24</v>
      </c>
      <c r="B31" s="6">
        <v>45352</v>
      </c>
      <c r="C31" s="7">
        <v>111</v>
      </c>
      <c r="D31" s="8" t="s">
        <v>20</v>
      </c>
      <c r="E31" s="7">
        <v>237000</v>
      </c>
      <c r="F31" s="8"/>
    </row>
    <row r="32" spans="1:6" x14ac:dyDescent="0.25">
      <c r="A32" s="18">
        <f t="shared" si="0"/>
        <v>25</v>
      </c>
      <c r="B32" s="6">
        <v>45352</v>
      </c>
      <c r="C32" s="7">
        <v>112</v>
      </c>
      <c r="D32" s="8" t="s">
        <v>8</v>
      </c>
      <c r="E32" s="7">
        <v>240000</v>
      </c>
      <c r="F32" s="8"/>
    </row>
    <row r="33" spans="1:6" x14ac:dyDescent="0.25">
      <c r="A33" s="18">
        <f t="shared" si="0"/>
        <v>26</v>
      </c>
      <c r="B33" s="6">
        <v>45352</v>
      </c>
      <c r="C33" s="7">
        <v>113</v>
      </c>
      <c r="D33" s="8" t="s">
        <v>11</v>
      </c>
      <c r="E33" s="7">
        <v>514000</v>
      </c>
      <c r="F33" s="8"/>
    </row>
    <row r="34" spans="1:6" x14ac:dyDescent="0.25">
      <c r="A34" s="18">
        <f t="shared" si="0"/>
        <v>27</v>
      </c>
      <c r="B34" s="6">
        <v>45352</v>
      </c>
      <c r="C34" s="7">
        <v>114</v>
      </c>
      <c r="D34" s="8" t="s">
        <v>10</v>
      </c>
      <c r="E34" s="7">
        <v>161754</v>
      </c>
      <c r="F34" s="8"/>
    </row>
    <row r="35" spans="1:6" x14ac:dyDescent="0.25">
      <c r="A35" s="18">
        <f t="shared" si="0"/>
        <v>28</v>
      </c>
      <c r="B35" s="6">
        <v>45352</v>
      </c>
      <c r="C35" s="7">
        <v>115</v>
      </c>
      <c r="D35" s="8" t="s">
        <v>21</v>
      </c>
      <c r="E35" s="7">
        <v>290883</v>
      </c>
      <c r="F35" s="8"/>
    </row>
    <row r="36" spans="1:6" x14ac:dyDescent="0.25">
      <c r="A36" s="18">
        <f t="shared" si="0"/>
        <v>29</v>
      </c>
      <c r="B36" s="6">
        <v>45352</v>
      </c>
      <c r="C36" s="7">
        <v>116</v>
      </c>
      <c r="D36" s="8" t="s">
        <v>8</v>
      </c>
      <c r="E36" s="7">
        <v>5055265</v>
      </c>
      <c r="F36" s="8"/>
    </row>
    <row r="37" spans="1:6" x14ac:dyDescent="0.25">
      <c r="A37" s="18">
        <f t="shared" si="0"/>
        <v>30</v>
      </c>
      <c r="B37" s="6">
        <v>45352</v>
      </c>
      <c r="C37" s="7">
        <v>117</v>
      </c>
      <c r="D37" s="8" t="s">
        <v>14</v>
      </c>
      <c r="E37" s="7">
        <v>3800290</v>
      </c>
      <c r="F37" s="8"/>
    </row>
    <row r="38" spans="1:6" x14ac:dyDescent="0.25">
      <c r="A38" s="18">
        <f t="shared" si="0"/>
        <v>31</v>
      </c>
      <c r="B38" s="6">
        <v>45352</v>
      </c>
      <c r="C38" s="7">
        <v>118</v>
      </c>
      <c r="D38" s="8" t="s">
        <v>22</v>
      </c>
      <c r="E38" s="7">
        <v>630558</v>
      </c>
      <c r="F38" s="8"/>
    </row>
    <row r="39" spans="1:6" x14ac:dyDescent="0.25">
      <c r="A39" s="18">
        <f t="shared" si="0"/>
        <v>32</v>
      </c>
      <c r="B39" s="6">
        <v>45356</v>
      </c>
      <c r="C39" s="7">
        <v>119</v>
      </c>
      <c r="D39" s="8" t="s">
        <v>9</v>
      </c>
      <c r="E39" s="7">
        <v>2074804</v>
      </c>
      <c r="F39" s="8"/>
    </row>
    <row r="40" spans="1:6" x14ac:dyDescent="0.25">
      <c r="A40" s="18">
        <f t="shared" si="0"/>
        <v>33</v>
      </c>
      <c r="B40" s="6">
        <v>45357</v>
      </c>
      <c r="C40" s="7">
        <v>120</v>
      </c>
      <c r="D40" s="8" t="s">
        <v>23</v>
      </c>
      <c r="E40" s="7">
        <v>403927</v>
      </c>
      <c r="F40" s="8"/>
    </row>
    <row r="41" spans="1:6" x14ac:dyDescent="0.25">
      <c r="A41" s="18">
        <f t="shared" si="0"/>
        <v>34</v>
      </c>
      <c r="B41" s="6">
        <v>45356</v>
      </c>
      <c r="C41" s="7">
        <v>121</v>
      </c>
      <c r="D41" s="8" t="s">
        <v>23</v>
      </c>
      <c r="E41" s="7">
        <v>1038065</v>
      </c>
      <c r="F41" s="8"/>
    </row>
    <row r="42" spans="1:6" x14ac:dyDescent="0.25">
      <c r="A42" s="18">
        <f t="shared" si="0"/>
        <v>35</v>
      </c>
      <c r="B42" s="6">
        <v>45357</v>
      </c>
      <c r="C42" s="7">
        <v>122</v>
      </c>
      <c r="D42" s="8" t="s">
        <v>24</v>
      </c>
      <c r="E42" s="7">
        <v>99492</v>
      </c>
      <c r="F42" s="8"/>
    </row>
    <row r="43" spans="1:6" x14ac:dyDescent="0.25">
      <c r="A43" s="18">
        <f t="shared" si="0"/>
        <v>36</v>
      </c>
      <c r="B43" s="6">
        <v>45357</v>
      </c>
      <c r="C43" s="7">
        <v>123</v>
      </c>
      <c r="D43" s="8" t="s">
        <v>24</v>
      </c>
      <c r="E43" s="7">
        <v>438485</v>
      </c>
      <c r="F43" s="8"/>
    </row>
    <row r="44" spans="1:6" x14ac:dyDescent="0.25">
      <c r="A44" s="18">
        <f t="shared" si="0"/>
        <v>37</v>
      </c>
      <c r="B44" s="6">
        <v>45357</v>
      </c>
      <c r="C44" s="7">
        <v>124</v>
      </c>
      <c r="D44" s="8" t="s">
        <v>24</v>
      </c>
      <c r="E44" s="7">
        <v>257730</v>
      </c>
      <c r="F44" s="8"/>
    </row>
    <row r="45" spans="1:6" x14ac:dyDescent="0.25">
      <c r="A45" s="18">
        <f t="shared" si="0"/>
        <v>38</v>
      </c>
      <c r="B45" s="6">
        <v>45357</v>
      </c>
      <c r="C45" s="7">
        <v>126</v>
      </c>
      <c r="D45" s="8" t="s">
        <v>24</v>
      </c>
      <c r="E45" s="7">
        <v>92080</v>
      </c>
      <c r="F45" s="8"/>
    </row>
    <row r="46" spans="1:6" x14ac:dyDescent="0.25">
      <c r="A46" s="18">
        <f t="shared" si="0"/>
        <v>39</v>
      </c>
      <c r="B46" s="6">
        <v>45357</v>
      </c>
      <c r="C46" s="7">
        <v>127</v>
      </c>
      <c r="D46" s="8" t="s">
        <v>24</v>
      </c>
      <c r="E46" s="7">
        <v>76406</v>
      </c>
      <c r="F46" s="8"/>
    </row>
    <row r="47" spans="1:6" x14ac:dyDescent="0.25">
      <c r="A47" s="18">
        <f t="shared" si="0"/>
        <v>40</v>
      </c>
      <c r="B47" s="6">
        <v>45358</v>
      </c>
      <c r="C47" s="7">
        <v>128</v>
      </c>
      <c r="D47" s="8" t="s">
        <v>8</v>
      </c>
      <c r="E47" s="7">
        <v>1131360</v>
      </c>
      <c r="F47" s="8"/>
    </row>
    <row r="48" spans="1:6" x14ac:dyDescent="0.25">
      <c r="A48" s="18">
        <f t="shared" si="0"/>
        <v>41</v>
      </c>
      <c r="B48" s="6">
        <v>45363</v>
      </c>
      <c r="C48" s="7">
        <v>129</v>
      </c>
      <c r="D48" s="8" t="s">
        <v>25</v>
      </c>
      <c r="E48" s="7">
        <v>236239</v>
      </c>
      <c r="F48" s="8"/>
    </row>
    <row r="49" spans="1:6" x14ac:dyDescent="0.25">
      <c r="A49" s="18">
        <f t="shared" si="0"/>
        <v>42</v>
      </c>
      <c r="B49" s="6">
        <v>45386</v>
      </c>
      <c r="C49" s="7">
        <v>131</v>
      </c>
      <c r="D49" s="8" t="s">
        <v>9</v>
      </c>
      <c r="E49" s="7">
        <v>3124223</v>
      </c>
      <c r="F49" s="8"/>
    </row>
    <row r="50" spans="1:6" x14ac:dyDescent="0.25">
      <c r="A50" s="18">
        <f t="shared" si="0"/>
        <v>43</v>
      </c>
      <c r="B50" s="6">
        <v>45386</v>
      </c>
      <c r="C50" s="7">
        <v>132</v>
      </c>
      <c r="D50" s="8" t="s">
        <v>17</v>
      </c>
      <c r="E50" s="7">
        <v>2355904</v>
      </c>
      <c r="F50" s="8"/>
    </row>
    <row r="51" spans="1:6" x14ac:dyDescent="0.25">
      <c r="A51" s="18">
        <f t="shared" si="0"/>
        <v>44</v>
      </c>
      <c r="B51" s="6">
        <v>45386</v>
      </c>
      <c r="C51" s="7">
        <v>133</v>
      </c>
      <c r="D51" s="8" t="s">
        <v>20</v>
      </c>
      <c r="E51" s="7">
        <v>237000</v>
      </c>
      <c r="F51" s="8"/>
    </row>
    <row r="52" spans="1:6" x14ac:dyDescent="0.25">
      <c r="A52" s="18">
        <f t="shared" si="0"/>
        <v>45</v>
      </c>
      <c r="B52" s="6">
        <v>45386</v>
      </c>
      <c r="C52" s="7">
        <v>134</v>
      </c>
      <c r="D52" s="8" t="s">
        <v>19</v>
      </c>
      <c r="E52" s="7">
        <v>5690897</v>
      </c>
      <c r="F52" s="8"/>
    </row>
    <row r="53" spans="1:6" x14ac:dyDescent="0.25">
      <c r="A53" s="18">
        <f t="shared" si="0"/>
        <v>46</v>
      </c>
      <c r="B53" s="6">
        <v>45393</v>
      </c>
      <c r="C53" s="7">
        <v>135</v>
      </c>
      <c r="D53" s="8" t="s">
        <v>17</v>
      </c>
      <c r="E53" s="7">
        <v>1332811</v>
      </c>
      <c r="F53" s="8"/>
    </row>
    <row r="54" spans="1:6" x14ac:dyDescent="0.25">
      <c r="A54" s="18">
        <f t="shared" si="0"/>
        <v>47</v>
      </c>
      <c r="B54" s="6">
        <v>45393</v>
      </c>
      <c r="C54" s="7">
        <v>136</v>
      </c>
      <c r="D54" s="8" t="s">
        <v>17</v>
      </c>
      <c r="E54" s="7">
        <v>367661</v>
      </c>
      <c r="F54" s="8"/>
    </row>
    <row r="55" spans="1:6" x14ac:dyDescent="0.25">
      <c r="A55" s="18">
        <f t="shared" si="0"/>
        <v>48</v>
      </c>
      <c r="B55" s="6">
        <v>45393</v>
      </c>
      <c r="C55" s="7">
        <v>137</v>
      </c>
      <c r="D55" s="8" t="s">
        <v>17</v>
      </c>
      <c r="E55" s="7">
        <v>655432</v>
      </c>
      <c r="F55" s="8"/>
    </row>
    <row r="56" spans="1:6" x14ac:dyDescent="0.25">
      <c r="A56" s="18">
        <f t="shared" si="0"/>
        <v>49</v>
      </c>
      <c r="B56" s="6">
        <v>45393</v>
      </c>
      <c r="C56" s="7">
        <v>139</v>
      </c>
      <c r="D56" s="8" t="s">
        <v>25</v>
      </c>
      <c r="E56" s="7">
        <v>349076</v>
      </c>
      <c r="F56" s="8"/>
    </row>
    <row r="57" spans="1:6" x14ac:dyDescent="0.25">
      <c r="A57" s="18">
        <f t="shared" si="0"/>
        <v>50</v>
      </c>
      <c r="B57" s="6">
        <v>45393</v>
      </c>
      <c r="C57" s="7">
        <v>140</v>
      </c>
      <c r="D57" s="8" t="s">
        <v>26</v>
      </c>
      <c r="E57" s="7">
        <v>240000</v>
      </c>
      <c r="F57" s="8"/>
    </row>
    <row r="58" spans="1:6" x14ac:dyDescent="0.25">
      <c r="A58" s="18">
        <f t="shared" si="0"/>
        <v>51</v>
      </c>
      <c r="B58" s="6">
        <v>45393</v>
      </c>
      <c r="C58" s="7">
        <v>141</v>
      </c>
      <c r="D58" s="8" t="s">
        <v>11</v>
      </c>
      <c r="E58" s="7">
        <v>514000</v>
      </c>
      <c r="F58" s="8"/>
    </row>
    <row r="59" spans="1:6" x14ac:dyDescent="0.25">
      <c r="A59" s="18">
        <f t="shared" si="0"/>
        <v>52</v>
      </c>
      <c r="B59" s="6">
        <v>45393</v>
      </c>
      <c r="C59" s="7">
        <v>142</v>
      </c>
      <c r="D59" s="8" t="s">
        <v>10</v>
      </c>
      <c r="E59" s="7">
        <v>210000</v>
      </c>
      <c r="F59" s="8"/>
    </row>
    <row r="60" spans="1:6" x14ac:dyDescent="0.25">
      <c r="A60" s="18">
        <f t="shared" si="0"/>
        <v>53</v>
      </c>
      <c r="B60" s="6">
        <v>45393</v>
      </c>
      <c r="C60" s="7">
        <v>143</v>
      </c>
      <c r="D60" s="8" t="s">
        <v>21</v>
      </c>
      <c r="E60" s="7">
        <v>374798</v>
      </c>
      <c r="F60" s="8"/>
    </row>
    <row r="61" spans="1:6" x14ac:dyDescent="0.25">
      <c r="A61" s="18">
        <f t="shared" si="0"/>
        <v>54</v>
      </c>
      <c r="B61" s="6">
        <v>45393</v>
      </c>
      <c r="C61" s="7">
        <v>144</v>
      </c>
      <c r="D61" s="8" t="s">
        <v>27</v>
      </c>
      <c r="E61" s="7">
        <v>165178</v>
      </c>
      <c r="F61" s="8"/>
    </row>
    <row r="62" spans="1:6" x14ac:dyDescent="0.25">
      <c r="A62" s="18">
        <f t="shared" si="0"/>
        <v>55</v>
      </c>
      <c r="B62" s="6">
        <v>45393</v>
      </c>
      <c r="C62" s="7">
        <v>145</v>
      </c>
      <c r="D62" s="8" t="s">
        <v>7</v>
      </c>
      <c r="E62" s="7">
        <v>1187556</v>
      </c>
      <c r="F62" s="8"/>
    </row>
    <row r="63" spans="1:6" x14ac:dyDescent="0.25">
      <c r="A63" s="18">
        <f t="shared" si="0"/>
        <v>56</v>
      </c>
      <c r="B63" s="6">
        <v>45393</v>
      </c>
      <c r="C63" s="7">
        <v>146</v>
      </c>
      <c r="D63" s="8" t="s">
        <v>19</v>
      </c>
      <c r="E63" s="7">
        <v>2000000</v>
      </c>
      <c r="F63" s="8"/>
    </row>
    <row r="64" spans="1:6" x14ac:dyDescent="0.25">
      <c r="A64" s="18">
        <f t="shared" si="0"/>
        <v>57</v>
      </c>
      <c r="B64" s="6">
        <v>45393</v>
      </c>
      <c r="C64" s="7">
        <v>147</v>
      </c>
      <c r="D64" s="8" t="s">
        <v>24</v>
      </c>
      <c r="E64" s="7">
        <v>374543</v>
      </c>
      <c r="F64" s="8"/>
    </row>
    <row r="65" spans="1:6" x14ac:dyDescent="0.25">
      <c r="A65" s="18">
        <f t="shared" si="0"/>
        <v>58</v>
      </c>
      <c r="B65" s="6">
        <v>45393</v>
      </c>
      <c r="C65" s="7">
        <v>148</v>
      </c>
      <c r="D65" s="8" t="s">
        <v>24</v>
      </c>
      <c r="E65" s="7">
        <v>553142</v>
      </c>
      <c r="F65" s="8"/>
    </row>
    <row r="66" spans="1:6" x14ac:dyDescent="0.25">
      <c r="A66" s="18">
        <f t="shared" si="0"/>
        <v>59</v>
      </c>
      <c r="B66" s="6">
        <v>45393</v>
      </c>
      <c r="C66" s="7">
        <v>149</v>
      </c>
      <c r="D66" s="8" t="s">
        <v>14</v>
      </c>
      <c r="E66" s="7">
        <v>3800290</v>
      </c>
      <c r="F66" s="8"/>
    </row>
    <row r="67" spans="1:6" x14ac:dyDescent="0.25">
      <c r="A67" s="18">
        <f t="shared" si="0"/>
        <v>60</v>
      </c>
      <c r="B67" s="6">
        <v>45393</v>
      </c>
      <c r="C67" s="7">
        <v>150</v>
      </c>
      <c r="D67" s="8" t="s">
        <v>8</v>
      </c>
      <c r="E67" s="7">
        <v>7317055</v>
      </c>
      <c r="F67" s="8"/>
    </row>
    <row r="68" spans="1:6" x14ac:dyDescent="0.25">
      <c r="A68" s="18">
        <f t="shared" si="0"/>
        <v>61</v>
      </c>
      <c r="B68" s="6">
        <v>45412</v>
      </c>
      <c r="C68" s="7">
        <v>151</v>
      </c>
      <c r="D68" s="8" t="s">
        <v>19</v>
      </c>
      <c r="E68" s="7">
        <v>5459688</v>
      </c>
      <c r="F68" s="8"/>
    </row>
    <row r="69" spans="1:6" x14ac:dyDescent="0.25">
      <c r="A69" s="18">
        <f t="shared" si="0"/>
        <v>62</v>
      </c>
      <c r="B69" s="6">
        <v>45412</v>
      </c>
      <c r="C69" s="7">
        <v>152</v>
      </c>
      <c r="D69" s="8" t="s">
        <v>9</v>
      </c>
      <c r="E69" s="7">
        <v>2839807</v>
      </c>
      <c r="F69" s="8"/>
    </row>
    <row r="70" spans="1:6" x14ac:dyDescent="0.25">
      <c r="A70" s="18">
        <f t="shared" si="0"/>
        <v>63</v>
      </c>
      <c r="B70" s="6">
        <v>45412</v>
      </c>
      <c r="C70" s="7">
        <v>155</v>
      </c>
      <c r="D70" s="8" t="s">
        <v>17</v>
      </c>
      <c r="E70" s="7">
        <v>3394818</v>
      </c>
      <c r="F70" s="8"/>
    </row>
    <row r="71" spans="1:6" x14ac:dyDescent="0.25">
      <c r="A71" s="18">
        <f t="shared" si="0"/>
        <v>64</v>
      </c>
      <c r="B71" s="6">
        <v>45412</v>
      </c>
      <c r="C71" s="7">
        <v>156</v>
      </c>
      <c r="D71" s="8" t="s">
        <v>26</v>
      </c>
      <c r="E71" s="7">
        <v>240008</v>
      </c>
      <c r="F71" s="8"/>
    </row>
    <row r="72" spans="1:6" x14ac:dyDescent="0.25">
      <c r="A72" s="18">
        <f t="shared" si="0"/>
        <v>65</v>
      </c>
      <c r="B72" s="6">
        <v>45414</v>
      </c>
      <c r="C72" s="7">
        <v>157</v>
      </c>
      <c r="D72" s="8" t="s">
        <v>20</v>
      </c>
      <c r="E72" s="7">
        <v>237000</v>
      </c>
      <c r="F72" s="8"/>
    </row>
    <row r="73" spans="1:6" x14ac:dyDescent="0.25">
      <c r="A73" s="18">
        <f t="shared" ref="A73:A136" si="1">ROW(LA66)</f>
        <v>66</v>
      </c>
      <c r="B73" s="6">
        <v>45414</v>
      </c>
      <c r="C73" s="7">
        <v>158</v>
      </c>
      <c r="D73" s="8" t="s">
        <v>27</v>
      </c>
      <c r="E73" s="7">
        <v>165178</v>
      </c>
      <c r="F73" s="8"/>
    </row>
    <row r="74" spans="1:6" x14ac:dyDescent="0.25">
      <c r="A74" s="18">
        <f t="shared" si="1"/>
        <v>67</v>
      </c>
      <c r="B74" s="6">
        <v>45414</v>
      </c>
      <c r="C74" s="7">
        <v>159</v>
      </c>
      <c r="D74" s="8" t="s">
        <v>8</v>
      </c>
      <c r="E74" s="7">
        <v>5281444</v>
      </c>
      <c r="F74" s="8"/>
    </row>
    <row r="75" spans="1:6" x14ac:dyDescent="0.25">
      <c r="A75" s="18">
        <f t="shared" si="1"/>
        <v>68</v>
      </c>
      <c r="B75" s="6">
        <v>45414</v>
      </c>
      <c r="C75" s="7">
        <v>160</v>
      </c>
      <c r="D75" s="8" t="s">
        <v>14</v>
      </c>
      <c r="E75" s="7">
        <v>3800290</v>
      </c>
      <c r="F75" s="8"/>
    </row>
    <row r="76" spans="1:6" x14ac:dyDescent="0.25">
      <c r="A76" s="18">
        <f t="shared" si="1"/>
        <v>69</v>
      </c>
      <c r="B76" s="6">
        <v>45414</v>
      </c>
      <c r="C76" s="7">
        <v>161</v>
      </c>
      <c r="D76" s="8" t="s">
        <v>25</v>
      </c>
      <c r="E76" s="7">
        <v>333623</v>
      </c>
      <c r="F76" s="8"/>
    </row>
    <row r="77" spans="1:6" x14ac:dyDescent="0.25">
      <c r="A77" s="18">
        <f t="shared" si="1"/>
        <v>70</v>
      </c>
      <c r="B77" s="6">
        <v>45414</v>
      </c>
      <c r="C77" s="7">
        <v>162</v>
      </c>
      <c r="D77" s="8" t="s">
        <v>7</v>
      </c>
      <c r="E77" s="7">
        <v>1030216</v>
      </c>
      <c r="F77" s="8"/>
    </row>
    <row r="78" spans="1:6" x14ac:dyDescent="0.25">
      <c r="A78" s="18">
        <f t="shared" si="1"/>
        <v>71</v>
      </c>
      <c r="B78" s="6">
        <v>45414</v>
      </c>
      <c r="C78" s="7">
        <v>164</v>
      </c>
      <c r="D78" s="8" t="s">
        <v>28</v>
      </c>
      <c r="E78" s="7">
        <v>964577</v>
      </c>
      <c r="F78" s="8"/>
    </row>
    <row r="79" spans="1:6" x14ac:dyDescent="0.25">
      <c r="A79" s="18">
        <f t="shared" si="1"/>
        <v>72</v>
      </c>
      <c r="B79" s="6">
        <v>45414</v>
      </c>
      <c r="C79" s="7">
        <v>165</v>
      </c>
      <c r="D79" s="8" t="s">
        <v>10</v>
      </c>
      <c r="E79" s="7">
        <v>210000</v>
      </c>
      <c r="F79" s="8"/>
    </row>
    <row r="80" spans="1:6" x14ac:dyDescent="0.25">
      <c r="A80" s="18">
        <f t="shared" si="1"/>
        <v>73</v>
      </c>
      <c r="B80" s="6">
        <v>45418</v>
      </c>
      <c r="C80" s="7">
        <v>166</v>
      </c>
      <c r="D80" s="8" t="s">
        <v>24</v>
      </c>
      <c r="E80" s="7">
        <v>685994</v>
      </c>
      <c r="F80" s="8"/>
    </row>
    <row r="81" spans="1:6" x14ac:dyDescent="0.25">
      <c r="A81" s="18">
        <f t="shared" si="1"/>
        <v>74</v>
      </c>
      <c r="B81" s="6">
        <v>45418</v>
      </c>
      <c r="C81" s="7">
        <v>167</v>
      </c>
      <c r="D81" s="8" t="s">
        <v>28</v>
      </c>
      <c r="E81" s="7">
        <v>5736219</v>
      </c>
      <c r="F81" s="8"/>
    </row>
    <row r="82" spans="1:6" x14ac:dyDescent="0.25">
      <c r="A82" s="18">
        <f t="shared" si="1"/>
        <v>75</v>
      </c>
      <c r="B82" s="6">
        <v>45418</v>
      </c>
      <c r="C82" s="7">
        <v>168</v>
      </c>
      <c r="D82" s="8" t="s">
        <v>29</v>
      </c>
      <c r="E82" s="7">
        <v>1036368</v>
      </c>
      <c r="F82" s="8"/>
    </row>
    <row r="83" spans="1:6" x14ac:dyDescent="0.25">
      <c r="A83" s="18">
        <f t="shared" si="1"/>
        <v>76</v>
      </c>
      <c r="B83" s="6">
        <v>45420</v>
      </c>
      <c r="C83" s="7">
        <v>169</v>
      </c>
      <c r="D83" s="8" t="s">
        <v>11</v>
      </c>
      <c r="E83" s="7">
        <v>514000</v>
      </c>
      <c r="F83" s="8"/>
    </row>
    <row r="84" spans="1:6" x14ac:dyDescent="0.25">
      <c r="A84" s="18">
        <f t="shared" si="1"/>
        <v>77</v>
      </c>
      <c r="B84" s="6">
        <v>45425</v>
      </c>
      <c r="C84" s="7">
        <v>170</v>
      </c>
      <c r="D84" s="8" t="s">
        <v>30</v>
      </c>
      <c r="E84" s="7">
        <v>904792</v>
      </c>
      <c r="F84" s="8"/>
    </row>
    <row r="85" spans="1:6" x14ac:dyDescent="0.25">
      <c r="A85" s="18">
        <f t="shared" si="1"/>
        <v>78</v>
      </c>
      <c r="B85" s="6">
        <v>45425</v>
      </c>
      <c r="C85" s="7">
        <v>171</v>
      </c>
      <c r="D85" s="8" t="s">
        <v>31</v>
      </c>
      <c r="E85" s="7">
        <v>900000</v>
      </c>
      <c r="F85" s="8"/>
    </row>
    <row r="86" spans="1:6" x14ac:dyDescent="0.25">
      <c r="A86" s="18">
        <f t="shared" si="1"/>
        <v>79</v>
      </c>
      <c r="B86" s="6">
        <v>45433</v>
      </c>
      <c r="C86" s="7">
        <v>176</v>
      </c>
      <c r="D86" s="8" t="s">
        <v>32</v>
      </c>
      <c r="E86" s="7">
        <v>965700</v>
      </c>
      <c r="F86" s="8"/>
    </row>
    <row r="87" spans="1:6" x14ac:dyDescent="0.25">
      <c r="A87" s="18">
        <f t="shared" si="1"/>
        <v>80</v>
      </c>
      <c r="B87" s="6">
        <v>45433</v>
      </c>
      <c r="C87" s="7">
        <v>177</v>
      </c>
      <c r="D87" s="8" t="s">
        <v>32</v>
      </c>
      <c r="E87" s="7">
        <v>1630794</v>
      </c>
      <c r="F87" s="8"/>
    </row>
    <row r="88" spans="1:6" x14ac:dyDescent="0.25">
      <c r="A88" s="18">
        <f t="shared" si="1"/>
        <v>81</v>
      </c>
      <c r="B88" s="6">
        <v>45433</v>
      </c>
      <c r="C88" s="7">
        <v>175</v>
      </c>
      <c r="D88" s="8" t="s">
        <v>28</v>
      </c>
      <c r="E88" s="7">
        <v>4469615</v>
      </c>
      <c r="F88" s="8"/>
    </row>
    <row r="89" spans="1:6" x14ac:dyDescent="0.25">
      <c r="A89" s="18">
        <f t="shared" si="1"/>
        <v>82</v>
      </c>
      <c r="B89" s="6">
        <v>45433</v>
      </c>
      <c r="C89" s="7">
        <v>176</v>
      </c>
      <c r="D89" s="8" t="s">
        <v>32</v>
      </c>
      <c r="E89" s="7">
        <v>965700</v>
      </c>
      <c r="F89" s="8"/>
    </row>
    <row r="90" spans="1:6" x14ac:dyDescent="0.25">
      <c r="A90" s="18">
        <f t="shared" si="1"/>
        <v>83</v>
      </c>
      <c r="B90" s="6">
        <v>45433</v>
      </c>
      <c r="C90" s="7">
        <v>177</v>
      </c>
      <c r="D90" s="8" t="s">
        <v>32</v>
      </c>
      <c r="E90" s="7">
        <v>1630794</v>
      </c>
      <c r="F90" s="8"/>
    </row>
    <row r="91" spans="1:6" x14ac:dyDescent="0.25">
      <c r="A91" s="18">
        <f t="shared" si="1"/>
        <v>84</v>
      </c>
      <c r="B91" s="6">
        <v>45443</v>
      </c>
      <c r="C91" s="7">
        <v>178</v>
      </c>
      <c r="D91" s="8" t="s">
        <v>25</v>
      </c>
      <c r="E91" s="7">
        <v>349075</v>
      </c>
      <c r="F91" s="8"/>
    </row>
    <row r="92" spans="1:6" x14ac:dyDescent="0.25">
      <c r="A92" s="18">
        <f t="shared" si="1"/>
        <v>85</v>
      </c>
      <c r="B92" s="6">
        <v>45441</v>
      </c>
      <c r="C92" s="7">
        <v>179</v>
      </c>
      <c r="D92" s="8" t="s">
        <v>9</v>
      </c>
      <c r="E92" s="7">
        <v>2456213</v>
      </c>
      <c r="F92" s="8"/>
    </row>
    <row r="93" spans="1:6" x14ac:dyDescent="0.25">
      <c r="A93" s="18">
        <f t="shared" si="1"/>
        <v>86</v>
      </c>
      <c r="B93" s="6">
        <v>45443</v>
      </c>
      <c r="C93" s="7">
        <v>181</v>
      </c>
      <c r="D93" s="8" t="s">
        <v>7</v>
      </c>
      <c r="E93" s="7">
        <v>504558</v>
      </c>
      <c r="F93" s="8"/>
    </row>
    <row r="94" spans="1:6" x14ac:dyDescent="0.25">
      <c r="A94" s="18">
        <f t="shared" si="1"/>
        <v>87</v>
      </c>
      <c r="B94" s="6">
        <v>45441</v>
      </c>
      <c r="C94" s="7">
        <v>182</v>
      </c>
      <c r="D94" s="8" t="s">
        <v>34</v>
      </c>
      <c r="E94" s="7">
        <v>165178</v>
      </c>
      <c r="F94" s="8"/>
    </row>
    <row r="95" spans="1:6" x14ac:dyDescent="0.25">
      <c r="A95" s="18">
        <f t="shared" si="1"/>
        <v>88</v>
      </c>
      <c r="B95" s="6">
        <v>45441</v>
      </c>
      <c r="C95" s="7">
        <v>183</v>
      </c>
      <c r="D95" s="8" t="s">
        <v>33</v>
      </c>
      <c r="E95" s="7">
        <v>237000</v>
      </c>
      <c r="F95" s="8"/>
    </row>
    <row r="96" spans="1:6" x14ac:dyDescent="0.25">
      <c r="A96" s="18">
        <f t="shared" si="1"/>
        <v>89</v>
      </c>
      <c r="B96" s="6">
        <v>45441</v>
      </c>
      <c r="C96" s="7">
        <v>184</v>
      </c>
      <c r="D96" s="8" t="s">
        <v>11</v>
      </c>
      <c r="E96" s="7">
        <v>260000</v>
      </c>
      <c r="F96" s="8"/>
    </row>
    <row r="97" spans="1:6" x14ac:dyDescent="0.25">
      <c r="A97" s="18">
        <f t="shared" si="1"/>
        <v>90</v>
      </c>
      <c r="B97" s="6">
        <v>45441</v>
      </c>
      <c r="C97" s="7">
        <v>185</v>
      </c>
      <c r="D97" s="8" t="s">
        <v>17</v>
      </c>
      <c r="E97" s="7">
        <v>342390</v>
      </c>
      <c r="F97" s="8"/>
    </row>
    <row r="98" spans="1:6" x14ac:dyDescent="0.25">
      <c r="A98" s="18">
        <f t="shared" si="1"/>
        <v>91</v>
      </c>
      <c r="B98" s="6">
        <v>45441</v>
      </c>
      <c r="C98" s="7">
        <v>186</v>
      </c>
      <c r="D98" s="8" t="s">
        <v>17</v>
      </c>
      <c r="E98" s="7">
        <v>2004901</v>
      </c>
      <c r="F98" s="8"/>
    </row>
    <row r="99" spans="1:6" x14ac:dyDescent="0.25">
      <c r="A99" s="18">
        <f t="shared" si="1"/>
        <v>92</v>
      </c>
      <c r="B99" s="6">
        <v>45442</v>
      </c>
      <c r="C99" s="7">
        <v>187</v>
      </c>
      <c r="D99" s="8" t="s">
        <v>9</v>
      </c>
      <c r="E99" s="7">
        <v>1500000</v>
      </c>
      <c r="F99" s="8"/>
    </row>
    <row r="100" spans="1:6" x14ac:dyDescent="0.25">
      <c r="A100" s="18">
        <f t="shared" si="1"/>
        <v>93</v>
      </c>
      <c r="B100" s="6">
        <v>45442</v>
      </c>
      <c r="C100" s="7">
        <v>188</v>
      </c>
      <c r="D100" s="8" t="s">
        <v>19</v>
      </c>
      <c r="E100" s="7">
        <v>4637255</v>
      </c>
      <c r="F100" s="8"/>
    </row>
    <row r="101" spans="1:6" x14ac:dyDescent="0.25">
      <c r="A101" s="18">
        <f t="shared" si="1"/>
        <v>94</v>
      </c>
      <c r="B101" s="6">
        <v>45448</v>
      </c>
      <c r="C101" s="7">
        <v>189</v>
      </c>
      <c r="D101" s="8" t="s">
        <v>15</v>
      </c>
      <c r="E101" s="7">
        <v>240008</v>
      </c>
      <c r="F101" s="8"/>
    </row>
    <row r="102" spans="1:6" x14ac:dyDescent="0.25">
      <c r="A102" s="18">
        <f t="shared" si="1"/>
        <v>95</v>
      </c>
      <c r="B102" s="6">
        <v>45448</v>
      </c>
      <c r="C102" s="7">
        <v>190</v>
      </c>
      <c r="D102" s="8" t="s">
        <v>10</v>
      </c>
      <c r="E102" s="7">
        <v>210000</v>
      </c>
      <c r="F102" s="8"/>
    </row>
    <row r="103" spans="1:6" x14ac:dyDescent="0.25">
      <c r="A103" s="18">
        <f t="shared" si="1"/>
        <v>96</v>
      </c>
      <c r="B103" s="6">
        <v>45448</v>
      </c>
      <c r="C103" s="7">
        <v>191</v>
      </c>
      <c r="D103" s="8" t="s">
        <v>14</v>
      </c>
      <c r="E103" s="7">
        <v>3800290</v>
      </c>
      <c r="F103" s="8"/>
    </row>
    <row r="104" spans="1:6" x14ac:dyDescent="0.25">
      <c r="A104" s="18">
        <f t="shared" si="1"/>
        <v>97</v>
      </c>
      <c r="B104" s="6">
        <v>45448</v>
      </c>
      <c r="C104" s="7">
        <v>192</v>
      </c>
      <c r="D104" s="8" t="s">
        <v>36</v>
      </c>
      <c r="E104" s="7">
        <v>7317055</v>
      </c>
      <c r="F104" s="8"/>
    </row>
    <row r="105" spans="1:6" x14ac:dyDescent="0.25">
      <c r="A105" s="18">
        <f t="shared" si="1"/>
        <v>98</v>
      </c>
      <c r="B105" s="6">
        <v>45448</v>
      </c>
      <c r="C105" s="7">
        <v>195</v>
      </c>
      <c r="D105" s="8" t="s">
        <v>37</v>
      </c>
      <c r="E105" s="7">
        <v>776004</v>
      </c>
      <c r="F105" s="8"/>
    </row>
    <row r="106" spans="1:6" x14ac:dyDescent="0.25">
      <c r="A106" s="18">
        <f t="shared" si="1"/>
        <v>99</v>
      </c>
      <c r="B106" s="6">
        <v>45433</v>
      </c>
      <c r="C106" s="7">
        <v>197</v>
      </c>
      <c r="D106" s="8" t="s">
        <v>28</v>
      </c>
      <c r="E106" s="7">
        <v>2826896</v>
      </c>
      <c r="F106" s="8"/>
    </row>
    <row r="107" spans="1:6" x14ac:dyDescent="0.25">
      <c r="A107" s="18">
        <f t="shared" si="1"/>
        <v>100</v>
      </c>
      <c r="B107" s="6">
        <v>45433</v>
      </c>
      <c r="C107" s="7">
        <v>198</v>
      </c>
      <c r="D107" s="8" t="s">
        <v>28</v>
      </c>
      <c r="E107" s="7">
        <v>4469539</v>
      </c>
      <c r="F107" s="8"/>
    </row>
    <row r="108" spans="1:6" x14ac:dyDescent="0.25">
      <c r="A108" s="18">
        <f t="shared" si="1"/>
        <v>101</v>
      </c>
      <c r="B108" s="6">
        <v>45453</v>
      </c>
      <c r="C108" s="7">
        <v>199</v>
      </c>
      <c r="D108" s="8" t="s">
        <v>32</v>
      </c>
      <c r="E108" s="7">
        <v>6712221</v>
      </c>
      <c r="F108" s="8"/>
    </row>
    <row r="109" spans="1:6" x14ac:dyDescent="0.25">
      <c r="A109" s="18">
        <f t="shared" si="1"/>
        <v>102</v>
      </c>
      <c r="B109" s="6">
        <v>45457</v>
      </c>
      <c r="C109" s="7">
        <v>1</v>
      </c>
      <c r="D109" s="8" t="s">
        <v>38</v>
      </c>
      <c r="E109" s="7">
        <v>1426459</v>
      </c>
      <c r="F109" s="8"/>
    </row>
    <row r="110" spans="1:6" x14ac:dyDescent="0.25">
      <c r="A110" s="18">
        <f t="shared" si="1"/>
        <v>103</v>
      </c>
      <c r="B110" s="6">
        <v>45468</v>
      </c>
      <c r="C110" s="7">
        <v>2</v>
      </c>
      <c r="D110" s="8" t="s">
        <v>30</v>
      </c>
      <c r="E110" s="7">
        <v>771051</v>
      </c>
      <c r="F110" s="8"/>
    </row>
    <row r="111" spans="1:6" x14ac:dyDescent="0.25">
      <c r="A111" s="18">
        <f t="shared" si="1"/>
        <v>104</v>
      </c>
      <c r="B111" s="6">
        <v>45468</v>
      </c>
      <c r="C111" s="7">
        <v>3</v>
      </c>
      <c r="D111" s="8" t="s">
        <v>39</v>
      </c>
      <c r="E111" s="7">
        <v>163685</v>
      </c>
      <c r="F111" s="8"/>
    </row>
    <row r="112" spans="1:6" x14ac:dyDescent="0.25">
      <c r="A112" s="18">
        <f t="shared" si="1"/>
        <v>105</v>
      </c>
      <c r="B112" s="6">
        <v>45468</v>
      </c>
      <c r="C112" s="7">
        <v>4</v>
      </c>
      <c r="D112" s="8" t="s">
        <v>40</v>
      </c>
      <c r="E112" s="7">
        <v>2744483</v>
      </c>
      <c r="F112" s="8"/>
    </row>
    <row r="113" spans="1:6" x14ac:dyDescent="0.25">
      <c r="A113" s="18">
        <f t="shared" si="1"/>
        <v>106</v>
      </c>
      <c r="B113" s="6">
        <v>45470</v>
      </c>
      <c r="C113" s="7">
        <v>5</v>
      </c>
      <c r="D113" s="8" t="s">
        <v>8</v>
      </c>
      <c r="E113" s="7">
        <v>5959981</v>
      </c>
      <c r="F113" s="8"/>
    </row>
    <row r="114" spans="1:6" x14ac:dyDescent="0.25">
      <c r="A114" s="18">
        <f t="shared" si="1"/>
        <v>107</v>
      </c>
      <c r="B114" s="6">
        <v>45470</v>
      </c>
      <c r="C114" s="7">
        <v>6</v>
      </c>
      <c r="D114" s="8" t="s">
        <v>14</v>
      </c>
      <c r="E114" s="7">
        <v>3800290</v>
      </c>
      <c r="F114" s="8"/>
    </row>
    <row r="115" spans="1:6" x14ac:dyDescent="0.25">
      <c r="A115" s="18">
        <f t="shared" si="1"/>
        <v>108</v>
      </c>
      <c r="B115" s="6">
        <v>45471</v>
      </c>
      <c r="C115" s="7">
        <v>7</v>
      </c>
      <c r="D115" s="8" t="s">
        <v>17</v>
      </c>
      <c r="E115" s="7">
        <v>1332811</v>
      </c>
      <c r="F115" s="8"/>
    </row>
    <row r="116" spans="1:6" x14ac:dyDescent="0.25">
      <c r="A116" s="18">
        <f t="shared" si="1"/>
        <v>109</v>
      </c>
      <c r="B116" s="6">
        <v>45471</v>
      </c>
      <c r="C116" s="7">
        <v>8</v>
      </c>
      <c r="D116" s="8" t="s">
        <v>17</v>
      </c>
      <c r="E116" s="7">
        <v>367277</v>
      </c>
      <c r="F116" s="8"/>
    </row>
    <row r="117" spans="1:6" x14ac:dyDescent="0.25">
      <c r="A117" s="18">
        <f t="shared" si="1"/>
        <v>110</v>
      </c>
      <c r="B117" s="6">
        <v>45471</v>
      </c>
      <c r="C117" s="7">
        <v>9</v>
      </c>
      <c r="D117" s="8" t="s">
        <v>17</v>
      </c>
      <c r="E117" s="7">
        <v>2410968</v>
      </c>
      <c r="F117" s="8"/>
    </row>
    <row r="118" spans="1:6" x14ac:dyDescent="0.25">
      <c r="A118" s="18">
        <f t="shared" si="1"/>
        <v>111</v>
      </c>
      <c r="B118" s="6">
        <v>45475</v>
      </c>
      <c r="C118" s="7">
        <v>10</v>
      </c>
      <c r="D118" s="8" t="s">
        <v>19</v>
      </c>
      <c r="E118" s="7">
        <v>4042036</v>
      </c>
      <c r="F118" s="8"/>
    </row>
    <row r="119" spans="1:6" x14ac:dyDescent="0.25">
      <c r="A119" s="18">
        <f t="shared" si="1"/>
        <v>112</v>
      </c>
      <c r="B119" s="6">
        <v>45475</v>
      </c>
      <c r="C119" s="7">
        <v>11</v>
      </c>
      <c r="D119" s="8" t="s">
        <v>25</v>
      </c>
      <c r="E119" s="7">
        <v>349075</v>
      </c>
      <c r="F119" s="8"/>
    </row>
    <row r="120" spans="1:6" x14ac:dyDescent="0.25">
      <c r="A120" s="18">
        <f t="shared" si="1"/>
        <v>113</v>
      </c>
      <c r="B120" s="6">
        <v>45475</v>
      </c>
      <c r="C120" s="7">
        <v>12</v>
      </c>
      <c r="D120" s="8" t="s">
        <v>34</v>
      </c>
      <c r="E120" s="7">
        <v>165178</v>
      </c>
      <c r="F120" s="8"/>
    </row>
    <row r="121" spans="1:6" x14ac:dyDescent="0.25">
      <c r="A121" s="18">
        <f t="shared" si="1"/>
        <v>114</v>
      </c>
      <c r="B121" s="6">
        <v>45475</v>
      </c>
      <c r="C121" s="7">
        <v>13</v>
      </c>
      <c r="D121" s="8" t="s">
        <v>15</v>
      </c>
      <c r="E121" s="7">
        <v>240008</v>
      </c>
      <c r="F121" s="8"/>
    </row>
    <row r="122" spans="1:6" x14ac:dyDescent="0.25">
      <c r="A122" s="18">
        <f t="shared" si="1"/>
        <v>115</v>
      </c>
      <c r="B122" s="6">
        <v>45475</v>
      </c>
      <c r="C122" s="7">
        <v>14</v>
      </c>
      <c r="D122" s="8" t="s">
        <v>41</v>
      </c>
      <c r="E122" s="7">
        <v>210000</v>
      </c>
      <c r="F122" s="8"/>
    </row>
    <row r="123" spans="1:6" x14ac:dyDescent="0.25">
      <c r="A123" s="18">
        <f t="shared" si="1"/>
        <v>116</v>
      </c>
      <c r="B123" s="6">
        <v>45475</v>
      </c>
      <c r="C123" s="7">
        <v>15</v>
      </c>
      <c r="D123" s="8" t="s">
        <v>11</v>
      </c>
      <c r="E123" s="7">
        <v>260000</v>
      </c>
      <c r="F123" s="8"/>
    </row>
    <row r="124" spans="1:6" x14ac:dyDescent="0.25">
      <c r="A124" s="18">
        <f t="shared" si="1"/>
        <v>117</v>
      </c>
      <c r="B124" s="6">
        <v>45475</v>
      </c>
      <c r="C124" s="7">
        <v>16</v>
      </c>
      <c r="D124" s="8" t="s">
        <v>42</v>
      </c>
      <c r="E124" s="7">
        <v>237000</v>
      </c>
      <c r="F124" s="8"/>
    </row>
    <row r="125" spans="1:6" x14ac:dyDescent="0.25">
      <c r="A125" s="18">
        <f t="shared" si="1"/>
        <v>118</v>
      </c>
      <c r="B125" s="6">
        <v>45475</v>
      </c>
      <c r="C125" s="7">
        <v>17</v>
      </c>
      <c r="D125" s="8" t="s">
        <v>7</v>
      </c>
      <c r="E125" s="7">
        <v>177491</v>
      </c>
      <c r="F125" s="8"/>
    </row>
    <row r="126" spans="1:6" x14ac:dyDescent="0.25">
      <c r="A126" s="18">
        <f t="shared" si="1"/>
        <v>119</v>
      </c>
      <c r="B126" s="6">
        <v>45482</v>
      </c>
      <c r="C126" s="7">
        <v>19</v>
      </c>
      <c r="D126" s="8" t="s">
        <v>17</v>
      </c>
      <c r="E126" s="7">
        <v>2722972</v>
      </c>
      <c r="F126" s="8"/>
    </row>
    <row r="127" spans="1:6" x14ac:dyDescent="0.25">
      <c r="A127" s="18">
        <f t="shared" si="1"/>
        <v>120</v>
      </c>
      <c r="B127" s="6">
        <v>45482</v>
      </c>
      <c r="C127" s="7">
        <v>20</v>
      </c>
      <c r="D127" s="8" t="s">
        <v>18</v>
      </c>
      <c r="E127" s="7">
        <v>332783</v>
      </c>
      <c r="F127" s="8"/>
    </row>
    <row r="128" spans="1:6" x14ac:dyDescent="0.25">
      <c r="A128" s="18">
        <f t="shared" si="1"/>
        <v>121</v>
      </c>
      <c r="B128" s="6">
        <v>45478</v>
      </c>
      <c r="C128" s="7">
        <v>23</v>
      </c>
      <c r="D128" s="8" t="s">
        <v>43</v>
      </c>
      <c r="E128" s="7">
        <v>155857</v>
      </c>
      <c r="F128" s="8"/>
    </row>
    <row r="129" spans="1:6" x14ac:dyDescent="0.25">
      <c r="A129" s="18">
        <f t="shared" si="1"/>
        <v>122</v>
      </c>
      <c r="B129" s="6">
        <v>45468</v>
      </c>
      <c r="C129" s="7">
        <v>24</v>
      </c>
      <c r="D129" s="8" t="s">
        <v>43</v>
      </c>
      <c r="E129" s="7">
        <v>217272</v>
      </c>
      <c r="F129" s="8"/>
    </row>
    <row r="130" spans="1:6" x14ac:dyDescent="0.25">
      <c r="A130" s="18">
        <f t="shared" si="1"/>
        <v>123</v>
      </c>
      <c r="B130" s="6">
        <v>45482</v>
      </c>
      <c r="C130" s="7">
        <v>21</v>
      </c>
      <c r="D130" s="8" t="s">
        <v>32</v>
      </c>
      <c r="E130" s="7">
        <v>1791647</v>
      </c>
      <c r="F130" s="8"/>
    </row>
    <row r="131" spans="1:6" x14ac:dyDescent="0.25">
      <c r="A131" s="18">
        <f t="shared" si="1"/>
        <v>124</v>
      </c>
      <c r="B131" s="6">
        <v>45483</v>
      </c>
      <c r="C131" s="7">
        <v>25</v>
      </c>
      <c r="D131" s="8" t="s">
        <v>32</v>
      </c>
      <c r="E131" s="7">
        <v>10174236</v>
      </c>
      <c r="F131" s="8"/>
    </row>
    <row r="132" spans="1:6" x14ac:dyDescent="0.25">
      <c r="A132" s="18">
        <f t="shared" si="1"/>
        <v>125</v>
      </c>
      <c r="B132" s="6">
        <v>45506</v>
      </c>
      <c r="C132" s="7">
        <v>27</v>
      </c>
      <c r="D132" s="8" t="s">
        <v>11</v>
      </c>
      <c r="E132" s="7">
        <v>259879</v>
      </c>
      <c r="F132" s="8"/>
    </row>
    <row r="133" spans="1:6" x14ac:dyDescent="0.25">
      <c r="A133" s="18">
        <f t="shared" si="1"/>
        <v>126</v>
      </c>
      <c r="B133" s="6">
        <v>45506</v>
      </c>
      <c r="C133" s="7">
        <v>28</v>
      </c>
      <c r="D133" s="8" t="s">
        <v>44</v>
      </c>
      <c r="E133" s="7">
        <v>237002</v>
      </c>
      <c r="F133" s="8"/>
    </row>
    <row r="134" spans="1:6" x14ac:dyDescent="0.25">
      <c r="A134" s="18">
        <f t="shared" si="1"/>
        <v>127</v>
      </c>
      <c r="B134" s="6">
        <v>45506</v>
      </c>
      <c r="C134" s="7">
        <v>29</v>
      </c>
      <c r="D134" s="8" t="s">
        <v>25</v>
      </c>
      <c r="E134" s="7">
        <v>349099</v>
      </c>
      <c r="F134" s="8"/>
    </row>
    <row r="135" spans="1:6" x14ac:dyDescent="0.25">
      <c r="A135" s="18">
        <f t="shared" si="1"/>
        <v>128</v>
      </c>
      <c r="B135" s="6">
        <v>45506</v>
      </c>
      <c r="C135" s="7">
        <v>30</v>
      </c>
      <c r="D135" s="8" t="s">
        <v>14</v>
      </c>
      <c r="E135" s="7">
        <v>3800016</v>
      </c>
      <c r="F135" s="8"/>
    </row>
    <row r="136" spans="1:6" x14ac:dyDescent="0.25">
      <c r="A136" s="18">
        <f t="shared" si="1"/>
        <v>129</v>
      </c>
      <c r="B136" s="6">
        <v>45506</v>
      </c>
      <c r="C136" s="7">
        <v>31</v>
      </c>
      <c r="D136" s="8" t="s">
        <v>34</v>
      </c>
      <c r="E136" s="7">
        <v>165297</v>
      </c>
      <c r="F136" s="8"/>
    </row>
    <row r="137" spans="1:6" x14ac:dyDescent="0.25">
      <c r="A137" s="18">
        <f t="shared" ref="A137:A200" si="2">ROW(LA130)</f>
        <v>130</v>
      </c>
      <c r="B137" s="6">
        <v>45506</v>
      </c>
      <c r="C137" s="7">
        <v>32</v>
      </c>
      <c r="D137" s="8" t="s">
        <v>41</v>
      </c>
      <c r="E137" s="7">
        <v>210032</v>
      </c>
      <c r="F137" s="8"/>
    </row>
    <row r="138" spans="1:6" x14ac:dyDescent="0.25">
      <c r="A138" s="18">
        <f t="shared" si="2"/>
        <v>131</v>
      </c>
      <c r="B138" s="6">
        <v>45506</v>
      </c>
      <c r="C138" s="7">
        <v>34</v>
      </c>
      <c r="D138" s="8" t="s">
        <v>17</v>
      </c>
      <c r="E138" s="7">
        <v>12480903</v>
      </c>
      <c r="F138" s="8"/>
    </row>
    <row r="139" spans="1:6" x14ac:dyDescent="0.25">
      <c r="A139" s="18">
        <f t="shared" si="2"/>
        <v>132</v>
      </c>
      <c r="B139" s="6">
        <v>45506</v>
      </c>
      <c r="C139" s="7">
        <v>36</v>
      </c>
      <c r="D139" s="8" t="s">
        <v>17</v>
      </c>
      <c r="E139" s="7">
        <v>332801</v>
      </c>
      <c r="F139" s="8"/>
    </row>
    <row r="140" spans="1:6" x14ac:dyDescent="0.25">
      <c r="A140" s="18">
        <f t="shared" si="2"/>
        <v>133</v>
      </c>
      <c r="B140" s="6">
        <v>45506</v>
      </c>
      <c r="C140" s="7">
        <v>37</v>
      </c>
      <c r="D140" s="8" t="s">
        <v>9</v>
      </c>
      <c r="E140" s="7">
        <v>2777396</v>
      </c>
      <c r="F140" s="8"/>
    </row>
    <row r="141" spans="1:6" x14ac:dyDescent="0.25">
      <c r="A141" s="18">
        <f t="shared" si="2"/>
        <v>134</v>
      </c>
      <c r="B141" s="6">
        <v>45506</v>
      </c>
      <c r="C141" s="7">
        <v>38</v>
      </c>
      <c r="D141" s="8" t="s">
        <v>7</v>
      </c>
      <c r="E141" s="7">
        <v>782931</v>
      </c>
      <c r="F141" s="8"/>
    </row>
    <row r="142" spans="1:6" x14ac:dyDescent="0.25">
      <c r="A142" s="18">
        <f t="shared" si="2"/>
        <v>135</v>
      </c>
      <c r="B142" s="6">
        <v>45512</v>
      </c>
      <c r="C142" s="7">
        <v>39</v>
      </c>
      <c r="D142" s="8" t="s">
        <v>19</v>
      </c>
      <c r="E142" s="7">
        <v>3852578</v>
      </c>
      <c r="F142" s="8"/>
    </row>
    <row r="143" spans="1:6" x14ac:dyDescent="0.25">
      <c r="A143" s="18">
        <f t="shared" si="2"/>
        <v>136</v>
      </c>
      <c r="B143" s="6">
        <v>45512</v>
      </c>
      <c r="C143" s="7">
        <v>40</v>
      </c>
      <c r="D143" s="8" t="s">
        <v>18</v>
      </c>
      <c r="E143" s="7">
        <v>158251</v>
      </c>
      <c r="F143" s="8"/>
    </row>
    <row r="144" spans="1:6" x14ac:dyDescent="0.25">
      <c r="A144" s="18">
        <f t="shared" si="2"/>
        <v>137</v>
      </c>
      <c r="B144" s="6">
        <v>45513</v>
      </c>
      <c r="C144" s="7">
        <v>41</v>
      </c>
      <c r="D144" s="8" t="s">
        <v>43</v>
      </c>
      <c r="E144" s="7">
        <v>1239822</v>
      </c>
      <c r="F144" s="8"/>
    </row>
    <row r="145" spans="1:6" x14ac:dyDescent="0.25">
      <c r="A145" s="18">
        <f t="shared" si="2"/>
        <v>138</v>
      </c>
      <c r="B145" s="6">
        <v>45513</v>
      </c>
      <c r="C145" s="7">
        <v>42</v>
      </c>
      <c r="D145" s="8" t="s">
        <v>43</v>
      </c>
      <c r="E145" s="7">
        <v>1847441</v>
      </c>
      <c r="F145" s="8"/>
    </row>
    <row r="146" spans="1:6" x14ac:dyDescent="0.25">
      <c r="A146" s="18">
        <f t="shared" si="2"/>
        <v>139</v>
      </c>
      <c r="B146" s="6">
        <v>45513</v>
      </c>
      <c r="C146" s="7">
        <v>43</v>
      </c>
      <c r="D146" s="8" t="s">
        <v>43</v>
      </c>
      <c r="E146" s="7">
        <v>67148</v>
      </c>
      <c r="F146" s="8"/>
    </row>
    <row r="147" spans="1:6" x14ac:dyDescent="0.25">
      <c r="A147" s="18">
        <f t="shared" si="2"/>
        <v>140</v>
      </c>
      <c r="B147" s="6">
        <v>45506</v>
      </c>
      <c r="C147" s="7">
        <v>44</v>
      </c>
      <c r="D147" s="8" t="s">
        <v>17</v>
      </c>
      <c r="E147" s="7">
        <v>12288873</v>
      </c>
      <c r="F147" s="8"/>
    </row>
    <row r="148" spans="1:6" x14ac:dyDescent="0.25">
      <c r="A148" s="18">
        <f t="shared" si="2"/>
        <v>141</v>
      </c>
      <c r="B148" s="6">
        <v>45509</v>
      </c>
      <c r="C148" s="7">
        <v>45</v>
      </c>
      <c r="D148" s="8" t="s">
        <v>45</v>
      </c>
      <c r="E148" s="7">
        <v>240000</v>
      </c>
      <c r="F148" s="8"/>
    </row>
    <row r="149" spans="1:6" x14ac:dyDescent="0.25">
      <c r="A149" s="18">
        <f t="shared" si="2"/>
        <v>142</v>
      </c>
      <c r="B149" s="6">
        <v>45513</v>
      </c>
      <c r="C149" s="7">
        <v>46</v>
      </c>
      <c r="D149" s="8" t="s">
        <v>32</v>
      </c>
      <c r="E149" s="7">
        <v>13548845</v>
      </c>
      <c r="F149" s="8"/>
    </row>
    <row r="150" spans="1:6" x14ac:dyDescent="0.25">
      <c r="A150" s="18">
        <f t="shared" si="2"/>
        <v>143</v>
      </c>
      <c r="B150" s="6">
        <v>45530</v>
      </c>
      <c r="C150" s="7">
        <v>47</v>
      </c>
      <c r="D150" s="8" t="s">
        <v>46</v>
      </c>
      <c r="E150" s="7">
        <v>2780060</v>
      </c>
      <c r="F150" s="8"/>
    </row>
    <row r="151" spans="1:6" x14ac:dyDescent="0.25">
      <c r="A151" s="18">
        <f t="shared" si="2"/>
        <v>144</v>
      </c>
      <c r="B151" s="6">
        <v>45530</v>
      </c>
      <c r="C151" s="7">
        <v>48</v>
      </c>
      <c r="D151" s="8" t="s">
        <v>47</v>
      </c>
      <c r="E151" s="7">
        <v>545392</v>
      </c>
      <c r="F151" s="8"/>
    </row>
    <row r="152" spans="1:6" x14ac:dyDescent="0.25">
      <c r="A152" s="18">
        <f t="shared" si="2"/>
        <v>145</v>
      </c>
      <c r="B152" s="6">
        <v>45531</v>
      </c>
      <c r="C152" s="7">
        <v>49</v>
      </c>
      <c r="D152" s="8" t="s">
        <v>48</v>
      </c>
      <c r="E152" s="7">
        <v>750002</v>
      </c>
      <c r="F152" s="8"/>
    </row>
    <row r="153" spans="1:6" x14ac:dyDescent="0.25">
      <c r="A153" s="18">
        <f t="shared" si="2"/>
        <v>146</v>
      </c>
      <c r="B153" s="6">
        <v>45537</v>
      </c>
      <c r="C153" s="7">
        <v>50</v>
      </c>
      <c r="D153" s="8" t="s">
        <v>17</v>
      </c>
      <c r="E153" s="7">
        <v>369458</v>
      </c>
      <c r="F153" s="8"/>
    </row>
    <row r="154" spans="1:6" x14ac:dyDescent="0.25">
      <c r="A154" s="18">
        <f t="shared" si="2"/>
        <v>147</v>
      </c>
      <c r="B154" s="6">
        <v>45537</v>
      </c>
      <c r="C154" s="7">
        <v>51</v>
      </c>
      <c r="D154" s="8" t="s">
        <v>17</v>
      </c>
      <c r="E154" s="7">
        <v>1304366</v>
      </c>
      <c r="F154" s="8"/>
    </row>
    <row r="155" spans="1:6" x14ac:dyDescent="0.25">
      <c r="A155" s="18">
        <f t="shared" si="2"/>
        <v>148</v>
      </c>
      <c r="B155" s="6">
        <v>45537</v>
      </c>
      <c r="C155" s="7">
        <v>52</v>
      </c>
      <c r="D155" s="8" t="s">
        <v>9</v>
      </c>
      <c r="E155" s="7">
        <v>2652076</v>
      </c>
      <c r="F155" s="8"/>
    </row>
    <row r="156" spans="1:6" x14ac:dyDescent="0.25">
      <c r="A156" s="18">
        <f t="shared" si="2"/>
        <v>149</v>
      </c>
      <c r="B156" s="6">
        <v>45537</v>
      </c>
      <c r="C156" s="7">
        <v>53</v>
      </c>
      <c r="D156" s="8" t="s">
        <v>19</v>
      </c>
      <c r="E156" s="7">
        <v>4115333</v>
      </c>
      <c r="F156" s="8"/>
    </row>
    <row r="157" spans="1:6" x14ac:dyDescent="0.25">
      <c r="A157" s="18">
        <f t="shared" si="2"/>
        <v>150</v>
      </c>
      <c r="B157" s="6">
        <v>45537</v>
      </c>
      <c r="C157" s="7">
        <v>54</v>
      </c>
      <c r="D157" s="8" t="s">
        <v>49</v>
      </c>
      <c r="E157" s="7">
        <v>16200926</v>
      </c>
      <c r="F157" s="8"/>
    </row>
    <row r="158" spans="1:6" x14ac:dyDescent="0.25">
      <c r="A158" s="18">
        <f t="shared" si="2"/>
        <v>151</v>
      </c>
      <c r="B158" s="6">
        <v>45537</v>
      </c>
      <c r="C158" s="7">
        <v>55</v>
      </c>
      <c r="D158" s="8" t="s">
        <v>32</v>
      </c>
      <c r="E158" s="7">
        <v>13768251</v>
      </c>
      <c r="F158" s="8"/>
    </row>
    <row r="159" spans="1:6" x14ac:dyDescent="0.25">
      <c r="A159" s="18">
        <f t="shared" si="2"/>
        <v>152</v>
      </c>
      <c r="B159" s="6">
        <v>45534</v>
      </c>
      <c r="C159" s="7">
        <v>56</v>
      </c>
      <c r="D159" s="8" t="s">
        <v>50</v>
      </c>
      <c r="E159" s="7">
        <v>300000</v>
      </c>
      <c r="F159" s="8"/>
    </row>
    <row r="160" spans="1:6" x14ac:dyDescent="0.25">
      <c r="A160" s="18">
        <f t="shared" si="2"/>
        <v>153</v>
      </c>
      <c r="B160" s="6">
        <v>45541</v>
      </c>
      <c r="C160" s="7">
        <v>57</v>
      </c>
      <c r="D160" s="8" t="s">
        <v>11</v>
      </c>
      <c r="E160" s="7">
        <v>213978</v>
      </c>
      <c r="F160" s="8"/>
    </row>
    <row r="161" spans="1:6" x14ac:dyDescent="0.25">
      <c r="A161" s="18">
        <f t="shared" si="2"/>
        <v>154</v>
      </c>
      <c r="B161" s="6">
        <v>45541</v>
      </c>
      <c r="C161" s="7">
        <v>58</v>
      </c>
      <c r="D161" s="8" t="s">
        <v>17</v>
      </c>
      <c r="E161" s="7">
        <v>237414</v>
      </c>
      <c r="F161" s="8"/>
    </row>
    <row r="162" spans="1:6" x14ac:dyDescent="0.25">
      <c r="A162" s="18">
        <f t="shared" si="2"/>
        <v>155</v>
      </c>
      <c r="B162" s="6">
        <v>45541</v>
      </c>
      <c r="C162" s="7">
        <v>60</v>
      </c>
      <c r="D162" s="8" t="s">
        <v>51</v>
      </c>
      <c r="E162" s="7">
        <v>1593616</v>
      </c>
      <c r="F162" s="8"/>
    </row>
    <row r="163" spans="1:6" x14ac:dyDescent="0.25">
      <c r="A163" s="18">
        <f t="shared" si="2"/>
        <v>156</v>
      </c>
      <c r="B163" s="6">
        <v>45541</v>
      </c>
      <c r="C163" s="7">
        <v>61</v>
      </c>
      <c r="D163" s="8" t="s">
        <v>7</v>
      </c>
      <c r="E163" s="7">
        <v>1961181</v>
      </c>
      <c r="F163" s="8"/>
    </row>
    <row r="164" spans="1:6" x14ac:dyDescent="0.25">
      <c r="A164" s="18">
        <f t="shared" si="2"/>
        <v>157</v>
      </c>
      <c r="B164" s="6">
        <v>45541</v>
      </c>
      <c r="C164" s="7">
        <v>62</v>
      </c>
      <c r="D164" s="8" t="s">
        <v>27</v>
      </c>
      <c r="E164" s="7">
        <v>164627</v>
      </c>
      <c r="F164" s="8"/>
    </row>
    <row r="165" spans="1:6" x14ac:dyDescent="0.25">
      <c r="A165" s="18">
        <f t="shared" si="2"/>
        <v>158</v>
      </c>
      <c r="B165" s="6">
        <v>45541</v>
      </c>
      <c r="C165" s="7">
        <v>63</v>
      </c>
      <c r="D165" s="8" t="s">
        <v>52</v>
      </c>
      <c r="E165" s="7">
        <v>311137</v>
      </c>
      <c r="F165" s="8"/>
    </row>
    <row r="166" spans="1:6" x14ac:dyDescent="0.25">
      <c r="A166" s="18">
        <f t="shared" si="2"/>
        <v>159</v>
      </c>
      <c r="B166" s="6">
        <v>45541</v>
      </c>
      <c r="C166" s="7">
        <v>64</v>
      </c>
      <c r="D166" s="8" t="s">
        <v>52</v>
      </c>
      <c r="E166" s="7">
        <v>344439</v>
      </c>
      <c r="F166" s="8"/>
    </row>
    <row r="167" spans="1:6" x14ac:dyDescent="0.25">
      <c r="A167" s="18">
        <f t="shared" si="2"/>
        <v>160</v>
      </c>
      <c r="B167" s="6">
        <v>45541</v>
      </c>
      <c r="C167" s="7">
        <v>65</v>
      </c>
      <c r="D167" s="8" t="s">
        <v>45</v>
      </c>
      <c r="E167" s="7">
        <v>240000</v>
      </c>
      <c r="F167" s="8"/>
    </row>
    <row r="168" spans="1:6" x14ac:dyDescent="0.25">
      <c r="A168" s="18">
        <f t="shared" si="2"/>
        <v>161</v>
      </c>
      <c r="B168" s="6">
        <v>45541</v>
      </c>
      <c r="C168" s="7">
        <v>66</v>
      </c>
      <c r="D168" s="8" t="s">
        <v>53</v>
      </c>
      <c r="E168" s="7">
        <v>187305</v>
      </c>
      <c r="F168" s="8"/>
    </row>
    <row r="169" spans="1:6" x14ac:dyDescent="0.25">
      <c r="A169" s="18">
        <f t="shared" si="2"/>
        <v>162</v>
      </c>
      <c r="B169" s="6">
        <v>45541</v>
      </c>
      <c r="C169" s="7">
        <v>67</v>
      </c>
      <c r="D169" s="7" t="s">
        <v>25</v>
      </c>
      <c r="E169" s="7">
        <v>348469</v>
      </c>
      <c r="F169" s="8"/>
    </row>
    <row r="170" spans="1:6" x14ac:dyDescent="0.25">
      <c r="A170" s="18">
        <f t="shared" si="2"/>
        <v>163</v>
      </c>
      <c r="B170" s="6">
        <v>45541</v>
      </c>
      <c r="C170" s="7">
        <v>69</v>
      </c>
      <c r="D170" s="8" t="s">
        <v>54</v>
      </c>
      <c r="E170" s="7">
        <v>3800016</v>
      </c>
      <c r="F170" s="8"/>
    </row>
    <row r="171" spans="1:6" x14ac:dyDescent="0.25">
      <c r="A171" s="18">
        <f t="shared" si="2"/>
        <v>164</v>
      </c>
      <c r="B171" s="6">
        <v>45537</v>
      </c>
      <c r="C171" s="7">
        <v>70</v>
      </c>
      <c r="D171" s="8" t="s">
        <v>17</v>
      </c>
      <c r="E171" s="7">
        <v>1234817</v>
      </c>
      <c r="F171" s="8"/>
    </row>
    <row r="172" spans="1:6" x14ac:dyDescent="0.25">
      <c r="A172" s="18">
        <f t="shared" si="2"/>
        <v>165</v>
      </c>
      <c r="B172" s="6">
        <v>45537</v>
      </c>
      <c r="C172" s="7">
        <v>71</v>
      </c>
      <c r="D172" s="8" t="s">
        <v>17</v>
      </c>
      <c r="E172" s="7">
        <v>18127443</v>
      </c>
      <c r="F172" s="8"/>
    </row>
    <row r="173" spans="1:6" x14ac:dyDescent="0.25">
      <c r="A173" s="18">
        <f t="shared" si="2"/>
        <v>166</v>
      </c>
      <c r="B173" s="6">
        <v>45561</v>
      </c>
      <c r="C173" s="7">
        <v>72</v>
      </c>
      <c r="D173" s="8" t="s">
        <v>48</v>
      </c>
      <c r="E173" s="7">
        <v>1500004</v>
      </c>
      <c r="F173" s="8"/>
    </row>
    <row r="174" spans="1:6" x14ac:dyDescent="0.25">
      <c r="A174" s="18">
        <f t="shared" si="2"/>
        <v>167</v>
      </c>
      <c r="B174" s="6">
        <v>45561</v>
      </c>
      <c r="C174" s="7">
        <v>73</v>
      </c>
      <c r="D174" s="8" t="s">
        <v>17</v>
      </c>
      <c r="E174" s="7">
        <v>1304366</v>
      </c>
      <c r="F174" s="8"/>
    </row>
    <row r="175" spans="1:6" x14ac:dyDescent="0.25">
      <c r="A175" s="18">
        <f t="shared" si="2"/>
        <v>168</v>
      </c>
      <c r="B175" s="6">
        <v>45591</v>
      </c>
      <c r="C175" s="7">
        <v>74</v>
      </c>
      <c r="D175" s="8" t="s">
        <v>9</v>
      </c>
      <c r="E175" s="7">
        <v>2685722</v>
      </c>
      <c r="F175" s="8"/>
    </row>
    <row r="176" spans="1:6" x14ac:dyDescent="0.25">
      <c r="A176" s="18">
        <f t="shared" si="2"/>
        <v>169</v>
      </c>
      <c r="B176" s="6">
        <v>45562</v>
      </c>
      <c r="C176" s="7">
        <v>75</v>
      </c>
      <c r="D176" s="8" t="s">
        <v>46</v>
      </c>
      <c r="E176" s="7">
        <v>821377</v>
      </c>
      <c r="F176" s="8"/>
    </row>
    <row r="177" spans="1:6" x14ac:dyDescent="0.25">
      <c r="A177" s="18">
        <f t="shared" si="2"/>
        <v>170</v>
      </c>
      <c r="B177" s="6">
        <v>45565</v>
      </c>
      <c r="C177" s="7">
        <v>76</v>
      </c>
      <c r="D177" s="8" t="s">
        <v>17</v>
      </c>
      <c r="E177" s="7">
        <v>19456008</v>
      </c>
      <c r="F177" s="8"/>
    </row>
    <row r="178" spans="1:6" x14ac:dyDescent="0.25">
      <c r="A178" s="18">
        <f t="shared" si="2"/>
        <v>171</v>
      </c>
      <c r="B178" s="6">
        <v>45565</v>
      </c>
      <c r="C178" s="7">
        <v>77</v>
      </c>
      <c r="D178" s="8" t="s">
        <v>17</v>
      </c>
      <c r="E178" s="7">
        <v>393773</v>
      </c>
      <c r="F178" s="8"/>
    </row>
    <row r="179" spans="1:6" x14ac:dyDescent="0.25">
      <c r="A179" s="18">
        <f t="shared" si="2"/>
        <v>172</v>
      </c>
      <c r="B179" s="6">
        <v>45565</v>
      </c>
      <c r="C179" s="7">
        <v>78</v>
      </c>
      <c r="D179" s="8" t="s">
        <v>55</v>
      </c>
      <c r="E179" s="7">
        <v>3050183</v>
      </c>
      <c r="F179" s="8"/>
    </row>
    <row r="180" spans="1:6" x14ac:dyDescent="0.25">
      <c r="A180" s="18">
        <f t="shared" si="2"/>
        <v>173</v>
      </c>
      <c r="B180" s="6">
        <v>45565</v>
      </c>
      <c r="C180" s="7">
        <v>79</v>
      </c>
      <c r="D180" s="8" t="s">
        <v>7</v>
      </c>
      <c r="E180" s="7">
        <v>979171</v>
      </c>
      <c r="F180" s="8"/>
    </row>
    <row r="181" spans="1:6" x14ac:dyDescent="0.25">
      <c r="A181" s="18">
        <f t="shared" si="2"/>
        <v>174</v>
      </c>
      <c r="B181" s="6">
        <v>45566</v>
      </c>
      <c r="C181" s="7">
        <v>81</v>
      </c>
      <c r="D181" s="8" t="s">
        <v>32</v>
      </c>
      <c r="E181" s="7">
        <v>13997112</v>
      </c>
      <c r="F181" s="8"/>
    </row>
    <row r="182" spans="1:6" x14ac:dyDescent="0.25">
      <c r="A182" s="18">
        <f t="shared" si="2"/>
        <v>175</v>
      </c>
      <c r="B182" s="6">
        <v>45567</v>
      </c>
      <c r="C182" s="7">
        <v>82</v>
      </c>
      <c r="D182" s="8" t="s">
        <v>25</v>
      </c>
      <c r="E182" s="7">
        <v>348469</v>
      </c>
      <c r="F182" s="8"/>
    </row>
    <row r="183" spans="1:6" x14ac:dyDescent="0.25">
      <c r="A183" s="18">
        <f t="shared" si="2"/>
        <v>176</v>
      </c>
      <c r="B183" s="6">
        <v>45568</v>
      </c>
      <c r="C183" s="7">
        <v>83</v>
      </c>
      <c r="D183" s="8" t="s">
        <v>51</v>
      </c>
      <c r="E183" s="7">
        <v>3416606</v>
      </c>
      <c r="F183" s="8"/>
    </row>
    <row r="184" spans="1:6" x14ac:dyDescent="0.25">
      <c r="A184" s="18">
        <f t="shared" si="2"/>
        <v>177</v>
      </c>
      <c r="B184" s="6">
        <v>45568</v>
      </c>
      <c r="C184" s="7">
        <v>84</v>
      </c>
      <c r="D184" s="8" t="s">
        <v>7</v>
      </c>
      <c r="E184" s="7">
        <v>926567</v>
      </c>
      <c r="F184" s="8"/>
    </row>
    <row r="185" spans="1:6" x14ac:dyDescent="0.25">
      <c r="A185" s="18">
        <f t="shared" si="2"/>
        <v>178</v>
      </c>
      <c r="B185" s="6">
        <v>45568</v>
      </c>
      <c r="C185" s="7">
        <v>85</v>
      </c>
      <c r="D185" s="8" t="s">
        <v>53</v>
      </c>
      <c r="E185" s="7">
        <v>198340</v>
      </c>
      <c r="F185" s="8"/>
    </row>
    <row r="186" spans="1:6" x14ac:dyDescent="0.25">
      <c r="A186" s="18">
        <f t="shared" si="2"/>
        <v>179</v>
      </c>
      <c r="B186" s="6">
        <v>45568</v>
      </c>
      <c r="C186" s="7">
        <v>86</v>
      </c>
      <c r="D186" s="8" t="s">
        <v>56</v>
      </c>
      <c r="E186" s="7">
        <v>164627</v>
      </c>
      <c r="F186" s="8"/>
    </row>
    <row r="187" spans="1:6" x14ac:dyDescent="0.25">
      <c r="A187" s="18">
        <f t="shared" si="2"/>
        <v>180</v>
      </c>
      <c r="B187" s="6">
        <v>45568</v>
      </c>
      <c r="C187" s="7">
        <v>87</v>
      </c>
      <c r="D187" s="8" t="s">
        <v>57</v>
      </c>
      <c r="E187" s="7">
        <v>298515</v>
      </c>
      <c r="F187" s="8"/>
    </row>
    <row r="188" spans="1:6" x14ac:dyDescent="0.25">
      <c r="A188" s="18">
        <f t="shared" si="2"/>
        <v>181</v>
      </c>
      <c r="B188" s="6">
        <v>45568</v>
      </c>
      <c r="C188" s="7">
        <v>88</v>
      </c>
      <c r="D188" s="8" t="s">
        <v>58</v>
      </c>
      <c r="E188" s="7">
        <v>237414</v>
      </c>
      <c r="F188" s="8"/>
    </row>
    <row r="189" spans="1:6" x14ac:dyDescent="0.25">
      <c r="A189" s="18">
        <f t="shared" si="2"/>
        <v>182</v>
      </c>
      <c r="B189" s="6">
        <v>45569</v>
      </c>
      <c r="C189" s="7">
        <v>89</v>
      </c>
      <c r="D189" s="7" t="s">
        <v>54</v>
      </c>
      <c r="E189" s="7">
        <v>3800016</v>
      </c>
      <c r="F189" s="8"/>
    </row>
    <row r="190" spans="1:6" x14ac:dyDescent="0.25">
      <c r="A190" s="18">
        <f t="shared" si="2"/>
        <v>183</v>
      </c>
      <c r="B190" s="6">
        <v>45566</v>
      </c>
      <c r="C190" s="7">
        <v>90</v>
      </c>
      <c r="D190" s="8" t="s">
        <v>19</v>
      </c>
      <c r="E190" s="7">
        <v>4416608</v>
      </c>
      <c r="F190" s="8"/>
    </row>
    <row r="191" spans="1:6" x14ac:dyDescent="0.25">
      <c r="A191" s="18">
        <f t="shared" si="2"/>
        <v>184</v>
      </c>
      <c r="B191" s="6">
        <v>45587</v>
      </c>
      <c r="C191" s="7">
        <v>91</v>
      </c>
      <c r="D191" s="8" t="s">
        <v>9</v>
      </c>
      <c r="E191" s="7">
        <v>2162314</v>
      </c>
      <c r="F191" s="8"/>
    </row>
    <row r="192" spans="1:6" x14ac:dyDescent="0.25">
      <c r="A192" s="18">
        <f t="shared" si="2"/>
        <v>185</v>
      </c>
      <c r="B192" s="6">
        <v>45589</v>
      </c>
      <c r="C192" s="7">
        <v>92</v>
      </c>
      <c r="D192" s="8" t="s">
        <v>32</v>
      </c>
      <c r="E192" s="7">
        <v>10507039</v>
      </c>
      <c r="F192" s="8"/>
    </row>
    <row r="193" spans="1:6" x14ac:dyDescent="0.25">
      <c r="A193" s="18">
        <f t="shared" si="2"/>
        <v>186</v>
      </c>
      <c r="B193" s="6">
        <v>45589</v>
      </c>
      <c r="C193" s="7">
        <v>93</v>
      </c>
      <c r="D193" s="8" t="s">
        <v>32</v>
      </c>
      <c r="E193" s="7">
        <v>1954951</v>
      </c>
      <c r="F193" s="8"/>
    </row>
    <row r="194" spans="1:6" x14ac:dyDescent="0.25">
      <c r="A194" s="18">
        <f t="shared" si="2"/>
        <v>187</v>
      </c>
      <c r="B194" s="6">
        <v>45593</v>
      </c>
      <c r="C194" s="7">
        <v>94</v>
      </c>
      <c r="D194" s="8" t="s">
        <v>55</v>
      </c>
      <c r="E194" s="7">
        <v>3337749</v>
      </c>
      <c r="F194" s="8"/>
    </row>
    <row r="195" spans="1:6" x14ac:dyDescent="0.25">
      <c r="A195" s="18">
        <f t="shared" si="2"/>
        <v>188</v>
      </c>
      <c r="B195" s="6">
        <v>45600</v>
      </c>
      <c r="C195" s="7">
        <v>95</v>
      </c>
      <c r="D195" s="8" t="s">
        <v>7</v>
      </c>
      <c r="E195" s="7">
        <v>277223</v>
      </c>
      <c r="F195" s="8"/>
    </row>
    <row r="196" spans="1:6" x14ac:dyDescent="0.25">
      <c r="A196" s="18">
        <f t="shared" si="2"/>
        <v>189</v>
      </c>
      <c r="B196" s="6">
        <v>45600</v>
      </c>
      <c r="C196" s="7">
        <v>96</v>
      </c>
      <c r="D196" s="8" t="s">
        <v>19</v>
      </c>
      <c r="E196" s="7">
        <v>3978205</v>
      </c>
      <c r="F196" s="8"/>
    </row>
    <row r="197" spans="1:6" x14ac:dyDescent="0.25">
      <c r="A197" s="18">
        <f t="shared" si="2"/>
        <v>190</v>
      </c>
      <c r="B197" s="6">
        <v>45598</v>
      </c>
      <c r="C197" s="7">
        <v>97</v>
      </c>
      <c r="D197" s="8" t="s">
        <v>59</v>
      </c>
      <c r="E197" s="7">
        <v>1500004</v>
      </c>
      <c r="F197" s="8"/>
    </row>
    <row r="198" spans="1:6" x14ac:dyDescent="0.25">
      <c r="A198" s="18">
        <f t="shared" si="2"/>
        <v>191</v>
      </c>
      <c r="B198" s="6">
        <v>45598</v>
      </c>
      <c r="C198" s="7">
        <v>98</v>
      </c>
      <c r="D198" s="8" t="s">
        <v>56</v>
      </c>
      <c r="E198" s="7">
        <v>164627</v>
      </c>
      <c r="F198" s="8"/>
    </row>
    <row r="199" spans="1:6" x14ac:dyDescent="0.25">
      <c r="A199" s="18">
        <f t="shared" si="2"/>
        <v>192</v>
      </c>
      <c r="B199" s="6">
        <v>45598</v>
      </c>
      <c r="C199" s="7">
        <v>99</v>
      </c>
      <c r="D199" s="8" t="s">
        <v>51</v>
      </c>
      <c r="E199" s="7">
        <v>1468124</v>
      </c>
      <c r="F199" s="8"/>
    </row>
    <row r="200" spans="1:6" x14ac:dyDescent="0.25">
      <c r="A200" s="18">
        <f t="shared" si="2"/>
        <v>193</v>
      </c>
      <c r="B200" s="6">
        <v>45598</v>
      </c>
      <c r="C200" s="7">
        <v>100</v>
      </c>
      <c r="D200" s="8" t="s">
        <v>25</v>
      </c>
      <c r="E200" s="7">
        <v>348469</v>
      </c>
      <c r="F200" s="8"/>
    </row>
    <row r="201" spans="1:6" x14ac:dyDescent="0.25">
      <c r="A201" s="18">
        <f t="shared" ref="A201:A223" si="3">ROW(LA194)</f>
        <v>194</v>
      </c>
      <c r="B201" s="6">
        <v>45598</v>
      </c>
      <c r="C201" s="7">
        <v>102</v>
      </c>
      <c r="D201" s="8" t="s">
        <v>53</v>
      </c>
      <c r="E201" s="7">
        <v>209373</v>
      </c>
      <c r="F201" s="8"/>
    </row>
    <row r="202" spans="1:6" x14ac:dyDescent="0.25">
      <c r="A202" s="18">
        <f t="shared" si="3"/>
        <v>195</v>
      </c>
      <c r="B202" s="6">
        <v>45598</v>
      </c>
      <c r="C202" s="7">
        <v>103</v>
      </c>
      <c r="D202" s="8" t="s">
        <v>58</v>
      </c>
      <c r="E202" s="7">
        <v>237414</v>
      </c>
      <c r="F202" s="8"/>
    </row>
    <row r="203" spans="1:6" x14ac:dyDescent="0.25">
      <c r="A203" s="18">
        <f t="shared" si="3"/>
        <v>196</v>
      </c>
      <c r="B203" s="6">
        <v>45598</v>
      </c>
      <c r="C203" s="7">
        <v>104</v>
      </c>
      <c r="D203" s="8" t="s">
        <v>54</v>
      </c>
      <c r="E203" s="7">
        <v>3799400</v>
      </c>
      <c r="F203" s="8"/>
    </row>
    <row r="204" spans="1:6" x14ac:dyDescent="0.25">
      <c r="A204" s="18">
        <f t="shared" si="3"/>
        <v>197</v>
      </c>
      <c r="B204" s="6">
        <v>45598</v>
      </c>
      <c r="C204" s="7">
        <v>105</v>
      </c>
      <c r="D204" s="8" t="s">
        <v>57</v>
      </c>
      <c r="E204" s="7">
        <v>298515</v>
      </c>
      <c r="F204" s="8"/>
    </row>
    <row r="205" spans="1:6" x14ac:dyDescent="0.25">
      <c r="A205" s="18">
        <f t="shared" si="3"/>
        <v>198</v>
      </c>
      <c r="B205" s="6">
        <v>45598</v>
      </c>
      <c r="C205" s="7">
        <v>106</v>
      </c>
      <c r="D205" s="8" t="s">
        <v>60</v>
      </c>
      <c r="E205" s="7">
        <v>386523</v>
      </c>
      <c r="F205" s="8"/>
    </row>
    <row r="206" spans="1:6" x14ac:dyDescent="0.25">
      <c r="A206" s="18">
        <f t="shared" si="3"/>
        <v>199</v>
      </c>
      <c r="B206" s="6">
        <v>45598</v>
      </c>
      <c r="C206" s="7">
        <v>107</v>
      </c>
      <c r="D206" s="8" t="s">
        <v>60</v>
      </c>
      <c r="E206" s="7">
        <v>1304366</v>
      </c>
      <c r="F206" s="8"/>
    </row>
    <row r="207" spans="1:6" x14ac:dyDescent="0.25">
      <c r="A207" s="18">
        <f t="shared" si="3"/>
        <v>200</v>
      </c>
      <c r="B207" s="6">
        <v>45598</v>
      </c>
      <c r="C207" s="7">
        <v>108</v>
      </c>
      <c r="D207" s="7" t="s">
        <v>60</v>
      </c>
      <c r="E207" s="7">
        <v>24358924</v>
      </c>
      <c r="F207" s="8"/>
    </row>
    <row r="208" spans="1:6" x14ac:dyDescent="0.25">
      <c r="A208" s="18">
        <f t="shared" si="3"/>
        <v>201</v>
      </c>
      <c r="B208" s="6">
        <v>45607</v>
      </c>
      <c r="C208" s="7">
        <v>109</v>
      </c>
      <c r="D208" s="8" t="s">
        <v>60</v>
      </c>
      <c r="E208" s="7">
        <v>1159080</v>
      </c>
      <c r="F208" s="8"/>
    </row>
    <row r="209" spans="1:6" x14ac:dyDescent="0.25">
      <c r="A209" s="18">
        <f t="shared" si="3"/>
        <v>202</v>
      </c>
      <c r="B209" s="6">
        <v>45614</v>
      </c>
      <c r="C209" s="7">
        <v>113</v>
      </c>
      <c r="D209" s="8" t="s">
        <v>25</v>
      </c>
      <c r="E209" s="7">
        <v>396235</v>
      </c>
      <c r="F209" s="8"/>
    </row>
    <row r="210" spans="1:6" x14ac:dyDescent="0.25">
      <c r="A210" s="18">
        <f t="shared" si="3"/>
        <v>203</v>
      </c>
      <c r="B210" s="6">
        <v>45615</v>
      </c>
      <c r="C210" s="7">
        <v>114</v>
      </c>
      <c r="D210" s="8" t="s">
        <v>60</v>
      </c>
      <c r="E210" s="7">
        <v>573063</v>
      </c>
      <c r="F210" s="8"/>
    </row>
    <row r="211" spans="1:6" x14ac:dyDescent="0.25">
      <c r="A211" s="18">
        <f t="shared" si="3"/>
        <v>204</v>
      </c>
      <c r="B211" s="6">
        <v>45621</v>
      </c>
      <c r="C211" s="7">
        <v>115</v>
      </c>
      <c r="D211" s="8" t="s">
        <v>32</v>
      </c>
      <c r="E211" s="7">
        <v>4405876</v>
      </c>
      <c r="F211" s="8"/>
    </row>
    <row r="212" spans="1:6" x14ac:dyDescent="0.25">
      <c r="A212" s="18">
        <f t="shared" si="3"/>
        <v>205</v>
      </c>
      <c r="B212" s="6">
        <v>45623</v>
      </c>
      <c r="C212" s="7">
        <v>116</v>
      </c>
      <c r="D212" s="8" t="s">
        <v>55</v>
      </c>
      <c r="E212" s="7">
        <v>3326891</v>
      </c>
      <c r="F212" s="8"/>
    </row>
    <row r="213" spans="1:6" x14ac:dyDescent="0.25">
      <c r="A213" s="21">
        <f t="shared" si="3"/>
        <v>206</v>
      </c>
      <c r="B213" s="22">
        <v>45624</v>
      </c>
      <c r="C213" s="23">
        <v>118</v>
      </c>
      <c r="D213" s="24" t="s">
        <v>59</v>
      </c>
      <c r="E213" s="23">
        <v>1500000</v>
      </c>
      <c r="F213" s="20"/>
    </row>
    <row r="214" spans="1:6" x14ac:dyDescent="0.25">
      <c r="A214" s="21">
        <f t="shared" si="3"/>
        <v>207</v>
      </c>
      <c r="B214" s="6">
        <v>45628</v>
      </c>
      <c r="C214" s="7">
        <v>119</v>
      </c>
      <c r="D214" s="8" t="s">
        <v>56</v>
      </c>
      <c r="E214" s="7">
        <v>164627</v>
      </c>
      <c r="F214" s="8"/>
    </row>
    <row r="215" spans="1:6" x14ac:dyDescent="0.25">
      <c r="A215" s="21">
        <f t="shared" si="3"/>
        <v>208</v>
      </c>
      <c r="B215" s="6">
        <v>45628</v>
      </c>
      <c r="C215" s="7">
        <v>120</v>
      </c>
      <c r="D215" s="8" t="s">
        <v>19</v>
      </c>
      <c r="E215" s="7">
        <v>4237754</v>
      </c>
      <c r="F215" s="8"/>
    </row>
    <row r="216" spans="1:6" x14ac:dyDescent="0.25">
      <c r="A216" s="21">
        <f t="shared" si="3"/>
        <v>209</v>
      </c>
      <c r="B216" s="6">
        <v>45628</v>
      </c>
      <c r="C216" s="7">
        <v>121</v>
      </c>
      <c r="D216" s="8" t="s">
        <v>51</v>
      </c>
      <c r="E216" s="7">
        <v>1468124</v>
      </c>
      <c r="F216" s="8"/>
    </row>
    <row r="217" spans="1:6" x14ac:dyDescent="0.25">
      <c r="A217" s="21">
        <f t="shared" si="3"/>
        <v>210</v>
      </c>
      <c r="B217" s="6">
        <v>45628</v>
      </c>
      <c r="C217" s="7">
        <v>122</v>
      </c>
      <c r="D217" s="8" t="s">
        <v>60</v>
      </c>
      <c r="E217" s="7">
        <v>20685977</v>
      </c>
      <c r="F217" s="8"/>
    </row>
    <row r="218" spans="1:6" x14ac:dyDescent="0.25">
      <c r="A218" s="21">
        <f t="shared" si="3"/>
        <v>211</v>
      </c>
      <c r="B218" s="6">
        <v>45628</v>
      </c>
      <c r="C218" s="7">
        <v>123</v>
      </c>
      <c r="D218" s="8" t="s">
        <v>60</v>
      </c>
      <c r="E218" s="7">
        <v>457664</v>
      </c>
      <c r="F218" s="8"/>
    </row>
    <row r="219" spans="1:6" x14ac:dyDescent="0.25">
      <c r="A219" s="21">
        <f t="shared" si="3"/>
        <v>212</v>
      </c>
      <c r="B219" s="6">
        <v>45628</v>
      </c>
      <c r="C219" s="7">
        <v>124</v>
      </c>
      <c r="D219" s="8" t="s">
        <v>60</v>
      </c>
      <c r="E219" s="7">
        <v>371421</v>
      </c>
      <c r="F219" s="8"/>
    </row>
    <row r="220" spans="1:6" x14ac:dyDescent="0.25">
      <c r="A220" s="21">
        <f t="shared" si="3"/>
        <v>213</v>
      </c>
      <c r="B220" s="6">
        <v>45635</v>
      </c>
      <c r="C220" s="7">
        <v>125</v>
      </c>
      <c r="D220" s="8" t="s">
        <v>62</v>
      </c>
      <c r="E220" s="7">
        <v>209373</v>
      </c>
      <c r="F220" s="8"/>
    </row>
    <row r="221" spans="1:6" x14ac:dyDescent="0.25">
      <c r="A221" s="21">
        <f t="shared" si="3"/>
        <v>214</v>
      </c>
      <c r="B221" s="6">
        <v>45635</v>
      </c>
      <c r="C221" s="7">
        <v>126</v>
      </c>
      <c r="D221" s="8" t="s">
        <v>57</v>
      </c>
      <c r="E221" s="7">
        <v>298515</v>
      </c>
      <c r="F221" s="8"/>
    </row>
    <row r="222" spans="1:6" x14ac:dyDescent="0.25">
      <c r="A222" s="21">
        <f t="shared" si="3"/>
        <v>215</v>
      </c>
      <c r="B222" s="6">
        <v>45635</v>
      </c>
      <c r="C222" s="7">
        <v>127</v>
      </c>
      <c r="D222" s="8" t="s">
        <v>42</v>
      </c>
      <c r="E222" s="7">
        <v>237414</v>
      </c>
      <c r="F222" s="8"/>
    </row>
    <row r="223" spans="1:6" x14ac:dyDescent="0.25">
      <c r="A223" s="21">
        <f t="shared" si="3"/>
        <v>216</v>
      </c>
      <c r="B223" s="6">
        <v>45635</v>
      </c>
      <c r="C223" s="7">
        <v>128</v>
      </c>
      <c r="D223" s="8" t="s">
        <v>54</v>
      </c>
      <c r="E223" s="7">
        <v>3799400</v>
      </c>
      <c r="F223" s="8"/>
    </row>
    <row r="224" spans="1:6" x14ac:dyDescent="0.25">
      <c r="A224" s="25" t="s">
        <v>65</v>
      </c>
      <c r="B224" s="26"/>
      <c r="C224" s="26"/>
      <c r="D224" s="27"/>
      <c r="E224" s="30">
        <f>SUM(E8:E223)</f>
        <v>490210301</v>
      </c>
      <c r="F224" s="8"/>
    </row>
  </sheetData>
  <mergeCells count="1">
    <mergeCell ref="A224:D224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80C4-8B89-4FE2-A6A8-E7BD348746B4}">
  <dimension ref="A3:H51"/>
  <sheetViews>
    <sheetView topLeftCell="A5" workbookViewId="0">
      <selection activeCell="A6" sqref="A6:E6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8" ht="18.75" x14ac:dyDescent="0.3">
      <c r="D3" s="1" t="s">
        <v>13</v>
      </c>
    </row>
    <row r="6" spans="1:8" s="4" customFormat="1" x14ac:dyDescent="0.25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1:8" x14ac:dyDescent="0.25">
      <c r="A7" s="5">
        <v>1</v>
      </c>
      <c r="B7" s="6">
        <v>45323</v>
      </c>
      <c r="C7" s="7">
        <v>88</v>
      </c>
      <c r="D7" s="8" t="s">
        <v>14</v>
      </c>
      <c r="E7" s="7">
        <v>1658336</v>
      </c>
      <c r="F7" s="9"/>
      <c r="G7" s="10">
        <f>+E7-F7</f>
        <v>1658336</v>
      </c>
    </row>
    <row r="8" spans="1:8" x14ac:dyDescent="0.25">
      <c r="A8" s="5">
        <v>2</v>
      </c>
      <c r="B8" s="6">
        <v>45323</v>
      </c>
      <c r="C8" s="7">
        <v>89</v>
      </c>
      <c r="D8" s="8" t="s">
        <v>15</v>
      </c>
      <c r="E8" s="7">
        <v>138099</v>
      </c>
      <c r="F8" s="9"/>
      <c r="G8" s="10">
        <f t="shared" ref="G8:G25" si="0">+E8-F8</f>
        <v>138099</v>
      </c>
    </row>
    <row r="9" spans="1:8" x14ac:dyDescent="0.25">
      <c r="A9" s="5">
        <v>3</v>
      </c>
      <c r="B9" s="6">
        <v>45327</v>
      </c>
      <c r="C9" s="7">
        <v>90</v>
      </c>
      <c r="D9" s="8" t="s">
        <v>16</v>
      </c>
      <c r="E9" s="7">
        <v>301012</v>
      </c>
      <c r="F9" s="9"/>
      <c r="G9" s="10">
        <f t="shared" si="0"/>
        <v>301012</v>
      </c>
    </row>
    <row r="10" spans="1:8" x14ac:dyDescent="0.25">
      <c r="A10" s="5">
        <v>4</v>
      </c>
      <c r="B10" s="6">
        <v>45327</v>
      </c>
      <c r="C10" s="7">
        <v>91</v>
      </c>
      <c r="D10" s="8" t="s">
        <v>17</v>
      </c>
      <c r="E10" s="7">
        <v>1216849</v>
      </c>
      <c r="F10" s="9"/>
      <c r="G10" s="10">
        <f t="shared" si="0"/>
        <v>1216849</v>
      </c>
    </row>
    <row r="11" spans="1:8" x14ac:dyDescent="0.25">
      <c r="A11" s="5">
        <v>5</v>
      </c>
      <c r="B11" s="6">
        <v>45327</v>
      </c>
      <c r="C11" s="7">
        <v>92</v>
      </c>
      <c r="D11" s="8" t="s">
        <v>17</v>
      </c>
      <c r="E11" s="7">
        <v>385847</v>
      </c>
      <c r="F11" s="9"/>
      <c r="G11" s="10">
        <f t="shared" si="0"/>
        <v>385847</v>
      </c>
    </row>
    <row r="12" spans="1:8" x14ac:dyDescent="0.25">
      <c r="A12" s="5">
        <v>6</v>
      </c>
      <c r="B12" s="6">
        <v>45327</v>
      </c>
      <c r="C12" s="7">
        <v>93</v>
      </c>
      <c r="D12" s="8" t="s">
        <v>8</v>
      </c>
      <c r="E12" s="7">
        <v>2671270</v>
      </c>
      <c r="F12" s="9"/>
      <c r="G12" s="10">
        <f t="shared" si="0"/>
        <v>2671270</v>
      </c>
    </row>
    <row r="13" spans="1:8" x14ac:dyDescent="0.25">
      <c r="A13" s="5">
        <v>7</v>
      </c>
      <c r="B13" s="6">
        <v>45327</v>
      </c>
      <c r="C13" s="7">
        <v>94</v>
      </c>
      <c r="D13" s="8" t="s">
        <v>18</v>
      </c>
      <c r="E13" s="7">
        <v>795023</v>
      </c>
      <c r="F13" s="9"/>
      <c r="G13" s="10">
        <f t="shared" si="0"/>
        <v>795023</v>
      </c>
    </row>
    <row r="14" spans="1:8" x14ac:dyDescent="0.25">
      <c r="A14" s="5">
        <v>8</v>
      </c>
      <c r="B14" s="6">
        <v>45327</v>
      </c>
      <c r="C14" s="7">
        <v>95</v>
      </c>
      <c r="D14" s="8" t="s">
        <v>18</v>
      </c>
      <c r="E14" s="7">
        <v>1450652</v>
      </c>
      <c r="F14" s="9"/>
      <c r="G14" s="10">
        <f t="shared" si="0"/>
        <v>1450652</v>
      </c>
      <c r="H14" s="11"/>
    </row>
    <row r="15" spans="1:8" x14ac:dyDescent="0.25">
      <c r="A15" s="5">
        <v>9</v>
      </c>
      <c r="B15" s="6">
        <v>45327</v>
      </c>
      <c r="C15" s="7">
        <v>96</v>
      </c>
      <c r="D15" s="8" t="s">
        <v>18</v>
      </c>
      <c r="E15" s="7">
        <v>278011</v>
      </c>
      <c r="F15" s="9"/>
      <c r="G15" s="10">
        <f t="shared" si="0"/>
        <v>278011</v>
      </c>
    </row>
    <row r="16" spans="1:8" x14ac:dyDescent="0.25">
      <c r="A16" s="5">
        <v>10</v>
      </c>
      <c r="B16" s="6">
        <v>45327</v>
      </c>
      <c r="C16" s="7">
        <v>97</v>
      </c>
      <c r="D16" s="8" t="s">
        <v>18</v>
      </c>
      <c r="E16" s="7">
        <v>489041</v>
      </c>
      <c r="F16" s="9"/>
      <c r="G16" s="10">
        <f t="shared" si="0"/>
        <v>489041</v>
      </c>
    </row>
    <row r="17" spans="1:8" x14ac:dyDescent="0.25">
      <c r="A17" s="5">
        <v>11</v>
      </c>
      <c r="B17" s="6">
        <v>45327</v>
      </c>
      <c r="C17" s="7">
        <v>98</v>
      </c>
      <c r="D17" s="8" t="s">
        <v>18</v>
      </c>
      <c r="E17" s="7">
        <v>167461</v>
      </c>
      <c r="F17" s="9"/>
      <c r="G17" s="10">
        <f t="shared" si="0"/>
        <v>167461</v>
      </c>
    </row>
    <row r="18" spans="1:8" x14ac:dyDescent="0.25">
      <c r="A18" s="5">
        <v>12</v>
      </c>
      <c r="B18" s="6">
        <v>45327</v>
      </c>
      <c r="C18" s="7">
        <v>99</v>
      </c>
      <c r="D18" s="8" t="s">
        <v>19</v>
      </c>
      <c r="E18" s="7">
        <v>5341991</v>
      </c>
      <c r="F18" s="9"/>
      <c r="G18" s="10">
        <f t="shared" si="0"/>
        <v>5341991</v>
      </c>
    </row>
    <row r="19" spans="1:8" x14ac:dyDescent="0.25">
      <c r="A19" s="5">
        <v>13</v>
      </c>
      <c r="B19" s="6">
        <v>45327</v>
      </c>
      <c r="C19" s="7">
        <v>100</v>
      </c>
      <c r="D19" s="8" t="s">
        <v>20</v>
      </c>
      <c r="E19" s="7">
        <v>237000</v>
      </c>
      <c r="F19" s="9"/>
      <c r="G19" s="10">
        <f t="shared" si="0"/>
        <v>237000</v>
      </c>
    </row>
    <row r="20" spans="1:8" x14ac:dyDescent="0.25">
      <c r="A20" s="5">
        <v>14</v>
      </c>
      <c r="B20" s="6">
        <v>45327</v>
      </c>
      <c r="C20" s="7">
        <v>101</v>
      </c>
      <c r="D20" s="8" t="s">
        <v>10</v>
      </c>
      <c r="E20" s="7">
        <v>210000</v>
      </c>
      <c r="F20" s="9"/>
      <c r="G20" s="10">
        <f t="shared" si="0"/>
        <v>210000</v>
      </c>
    </row>
    <row r="21" spans="1:8" x14ac:dyDescent="0.25">
      <c r="A21" s="5">
        <v>15</v>
      </c>
      <c r="B21" s="6">
        <v>45327</v>
      </c>
      <c r="C21" s="7">
        <v>102</v>
      </c>
      <c r="D21" s="8" t="s">
        <v>11</v>
      </c>
      <c r="E21" s="7">
        <v>514000</v>
      </c>
      <c r="F21" s="9"/>
      <c r="G21" s="10">
        <f t="shared" si="0"/>
        <v>514000</v>
      </c>
    </row>
    <row r="22" spans="1:8" x14ac:dyDescent="0.25">
      <c r="A22" s="5">
        <v>16</v>
      </c>
      <c r="B22" s="6">
        <v>45327</v>
      </c>
      <c r="C22" s="7">
        <v>103</v>
      </c>
      <c r="D22" s="8" t="s">
        <v>7</v>
      </c>
      <c r="E22" s="7">
        <v>4023848</v>
      </c>
      <c r="F22" s="9"/>
      <c r="G22" s="10">
        <f t="shared" si="0"/>
        <v>4023848</v>
      </c>
    </row>
    <row r="23" spans="1:8" x14ac:dyDescent="0.25">
      <c r="A23" s="5">
        <v>17</v>
      </c>
      <c r="B23" s="6">
        <v>45327</v>
      </c>
      <c r="C23" s="7">
        <v>104</v>
      </c>
      <c r="D23" s="8" t="s">
        <v>7</v>
      </c>
      <c r="E23" s="7">
        <v>859838</v>
      </c>
      <c r="F23" s="9"/>
      <c r="G23" s="10">
        <f t="shared" si="0"/>
        <v>859838</v>
      </c>
    </row>
    <row r="24" spans="1:8" x14ac:dyDescent="0.25">
      <c r="A24" s="5">
        <v>18</v>
      </c>
      <c r="B24" s="6">
        <v>45327</v>
      </c>
      <c r="C24" s="7">
        <v>105</v>
      </c>
      <c r="D24" s="8" t="s">
        <v>9</v>
      </c>
      <c r="E24" s="7">
        <v>1744720</v>
      </c>
      <c r="F24" s="9"/>
      <c r="G24" s="10">
        <f t="shared" si="0"/>
        <v>1744720</v>
      </c>
    </row>
    <row r="25" spans="1:8" x14ac:dyDescent="0.25">
      <c r="A25" s="5">
        <v>19</v>
      </c>
      <c r="B25" s="6">
        <v>45328</v>
      </c>
      <c r="C25" s="7">
        <v>106</v>
      </c>
      <c r="D25" s="8" t="s">
        <v>8</v>
      </c>
      <c r="E25" s="7">
        <v>4376728</v>
      </c>
      <c r="F25" s="9"/>
      <c r="G25" s="10">
        <f t="shared" si="0"/>
        <v>4376728</v>
      </c>
    </row>
    <row r="26" spans="1:8" x14ac:dyDescent="0.25">
      <c r="B26" s="28" t="s">
        <v>12</v>
      </c>
      <c r="C26" s="29"/>
      <c r="D26" s="3"/>
      <c r="E26" s="12">
        <f>SUM(E7:E25)</f>
        <v>26859726</v>
      </c>
      <c r="F26" s="13">
        <f>SUM(F7:F25)</f>
        <v>0</v>
      </c>
      <c r="G26" s="14">
        <f t="shared" ref="G26" si="1">+E26-F26</f>
        <v>26859726</v>
      </c>
    </row>
    <row r="27" spans="1:8" x14ac:dyDescent="0.25">
      <c r="C27" s="15"/>
      <c r="E27" s="15"/>
    </row>
    <row r="28" spans="1:8" x14ac:dyDescent="0.25">
      <c r="C28" s="15"/>
      <c r="E28" s="15"/>
    </row>
    <row r="29" spans="1:8" x14ac:dyDescent="0.25">
      <c r="C29" s="15"/>
      <c r="H29" s="11"/>
    </row>
    <row r="30" spans="1:8" x14ac:dyDescent="0.25">
      <c r="C30" s="15"/>
    </row>
    <row r="31" spans="1:8" x14ac:dyDescent="0.25">
      <c r="C31" s="15"/>
    </row>
    <row r="32" spans="1:8" x14ac:dyDescent="0.25">
      <c r="C32" s="15"/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</sheetData>
  <mergeCells count="1">
    <mergeCell ref="B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F16B-2A2F-4F3C-9A51-65D3E1D856BC}">
  <dimension ref="A3:H54"/>
  <sheetViews>
    <sheetView topLeftCell="A19" workbookViewId="0">
      <selection activeCell="J34" sqref="J34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8" ht="18.75" x14ac:dyDescent="0.3">
      <c r="D3" s="1" t="s">
        <v>13</v>
      </c>
    </row>
    <row r="6" spans="1:8" s="4" customFormat="1" x14ac:dyDescent="0.25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1:8" x14ac:dyDescent="0.25">
      <c r="A7" s="5">
        <v>1</v>
      </c>
      <c r="B7" s="6">
        <v>45352</v>
      </c>
      <c r="C7" s="7">
        <v>107</v>
      </c>
      <c r="D7" s="8" t="s">
        <v>19</v>
      </c>
      <c r="E7" s="7">
        <v>5498043</v>
      </c>
      <c r="F7" s="9"/>
      <c r="G7" s="10">
        <f>+E7-F7</f>
        <v>5498043</v>
      </c>
    </row>
    <row r="8" spans="1:8" x14ac:dyDescent="0.25">
      <c r="A8" s="5">
        <v>2</v>
      </c>
      <c r="B8" s="6">
        <v>45352</v>
      </c>
      <c r="C8" s="7">
        <v>108</v>
      </c>
      <c r="D8" s="8" t="s">
        <v>17</v>
      </c>
      <c r="E8" s="7">
        <v>1308810</v>
      </c>
      <c r="F8" s="9"/>
      <c r="G8" s="10">
        <f t="shared" ref="G8:G29" si="0">+E8-F8</f>
        <v>1308810</v>
      </c>
    </row>
    <row r="9" spans="1:8" x14ac:dyDescent="0.25">
      <c r="A9" s="5">
        <v>3</v>
      </c>
      <c r="B9" s="6">
        <v>45352</v>
      </c>
      <c r="C9" s="7">
        <v>109</v>
      </c>
      <c r="D9" s="8" t="s">
        <v>17</v>
      </c>
      <c r="E9" s="7">
        <v>398462</v>
      </c>
      <c r="F9" s="9"/>
      <c r="G9" s="10">
        <f t="shared" si="0"/>
        <v>398462</v>
      </c>
    </row>
    <row r="10" spans="1:8" x14ac:dyDescent="0.25">
      <c r="A10" s="5">
        <v>4</v>
      </c>
      <c r="B10" s="6">
        <v>45352</v>
      </c>
      <c r="C10" s="7">
        <v>110</v>
      </c>
      <c r="D10" s="8" t="s">
        <v>7</v>
      </c>
      <c r="E10" s="7">
        <v>2491456</v>
      </c>
      <c r="F10" s="9"/>
      <c r="G10" s="10">
        <f t="shared" si="0"/>
        <v>2491456</v>
      </c>
    </row>
    <row r="11" spans="1:8" x14ac:dyDescent="0.25">
      <c r="A11" s="5">
        <v>5</v>
      </c>
      <c r="B11" s="6">
        <v>45352</v>
      </c>
      <c r="C11" s="7">
        <v>111</v>
      </c>
      <c r="D11" s="8" t="s">
        <v>20</v>
      </c>
      <c r="E11" s="7">
        <v>237000</v>
      </c>
      <c r="F11" s="9"/>
      <c r="G11" s="10">
        <f t="shared" si="0"/>
        <v>237000</v>
      </c>
    </row>
    <row r="12" spans="1:8" x14ac:dyDescent="0.25">
      <c r="A12" s="5">
        <v>6</v>
      </c>
      <c r="B12" s="6">
        <v>45352</v>
      </c>
      <c r="C12" s="7">
        <v>112</v>
      </c>
      <c r="D12" s="8" t="s">
        <v>8</v>
      </c>
      <c r="E12" s="7">
        <v>240000</v>
      </c>
      <c r="F12" s="9"/>
      <c r="G12" s="10">
        <f t="shared" si="0"/>
        <v>240000</v>
      </c>
    </row>
    <row r="13" spans="1:8" x14ac:dyDescent="0.25">
      <c r="A13" s="5">
        <v>7</v>
      </c>
      <c r="B13" s="6">
        <v>45352</v>
      </c>
      <c r="C13" s="7">
        <v>113</v>
      </c>
      <c r="D13" s="8" t="s">
        <v>11</v>
      </c>
      <c r="E13" s="7">
        <v>514000</v>
      </c>
      <c r="F13" s="9"/>
      <c r="G13" s="10">
        <f t="shared" si="0"/>
        <v>514000</v>
      </c>
    </row>
    <row r="14" spans="1:8" x14ac:dyDescent="0.25">
      <c r="A14" s="5">
        <v>8</v>
      </c>
      <c r="B14" s="6">
        <v>45352</v>
      </c>
      <c r="C14" s="7">
        <v>114</v>
      </c>
      <c r="D14" s="8" t="s">
        <v>10</v>
      </c>
      <c r="E14" s="7">
        <v>161754</v>
      </c>
      <c r="F14" s="9"/>
      <c r="G14" s="10">
        <f t="shared" si="0"/>
        <v>161754</v>
      </c>
      <c r="H14" s="11"/>
    </row>
    <row r="15" spans="1:8" x14ac:dyDescent="0.25">
      <c r="A15" s="5">
        <v>9</v>
      </c>
      <c r="B15" s="6">
        <v>45352</v>
      </c>
      <c r="C15" s="7">
        <v>115</v>
      </c>
      <c r="D15" s="8" t="s">
        <v>21</v>
      </c>
      <c r="E15" s="7">
        <v>290883</v>
      </c>
      <c r="F15" s="9"/>
      <c r="G15" s="10">
        <f t="shared" si="0"/>
        <v>290883</v>
      </c>
    </row>
    <row r="16" spans="1:8" x14ac:dyDescent="0.25">
      <c r="A16" s="5">
        <v>10</v>
      </c>
      <c r="B16" s="6">
        <v>45352</v>
      </c>
      <c r="C16" s="7">
        <v>116</v>
      </c>
      <c r="D16" s="8" t="s">
        <v>8</v>
      </c>
      <c r="E16" s="7">
        <v>5055265</v>
      </c>
      <c r="F16" s="9"/>
      <c r="G16" s="10">
        <f t="shared" si="0"/>
        <v>5055265</v>
      </c>
    </row>
    <row r="17" spans="1:8" x14ac:dyDescent="0.25">
      <c r="A17" s="5">
        <v>11</v>
      </c>
      <c r="B17" s="6">
        <v>45352</v>
      </c>
      <c r="C17" s="7">
        <v>117</v>
      </c>
      <c r="D17" s="8" t="s">
        <v>14</v>
      </c>
      <c r="E17" s="7">
        <v>3800290</v>
      </c>
      <c r="F17" s="9"/>
      <c r="G17" s="10">
        <f t="shared" si="0"/>
        <v>3800290</v>
      </c>
    </row>
    <row r="18" spans="1:8" x14ac:dyDescent="0.25">
      <c r="A18" s="5">
        <v>12</v>
      </c>
      <c r="B18" s="6">
        <v>45352</v>
      </c>
      <c r="C18" s="7">
        <v>118</v>
      </c>
      <c r="D18" s="8" t="s">
        <v>22</v>
      </c>
      <c r="E18" s="7">
        <v>630558</v>
      </c>
      <c r="F18" s="9"/>
      <c r="G18" s="10">
        <f t="shared" si="0"/>
        <v>630558</v>
      </c>
    </row>
    <row r="19" spans="1:8" x14ac:dyDescent="0.25">
      <c r="A19" s="5">
        <v>13</v>
      </c>
      <c r="B19" s="6">
        <v>45356</v>
      </c>
      <c r="C19" s="7">
        <v>119</v>
      </c>
      <c r="D19" s="8" t="s">
        <v>9</v>
      </c>
      <c r="E19" s="7">
        <v>2074804</v>
      </c>
      <c r="F19" s="9"/>
      <c r="G19" s="10">
        <f t="shared" si="0"/>
        <v>2074804</v>
      </c>
    </row>
    <row r="20" spans="1:8" x14ac:dyDescent="0.25">
      <c r="A20" s="5">
        <v>14</v>
      </c>
      <c r="B20" s="6">
        <v>45357</v>
      </c>
      <c r="C20" s="7">
        <v>120</v>
      </c>
      <c r="D20" s="8" t="s">
        <v>23</v>
      </c>
      <c r="E20" s="7">
        <v>403927</v>
      </c>
      <c r="F20" s="9"/>
      <c r="G20" s="10">
        <f t="shared" si="0"/>
        <v>403927</v>
      </c>
    </row>
    <row r="21" spans="1:8" x14ac:dyDescent="0.25">
      <c r="A21" s="5">
        <v>15</v>
      </c>
      <c r="B21" s="6">
        <v>45356</v>
      </c>
      <c r="C21" s="7">
        <v>121</v>
      </c>
      <c r="D21" s="8" t="s">
        <v>23</v>
      </c>
      <c r="E21" s="7">
        <v>1038065</v>
      </c>
      <c r="F21" s="9"/>
      <c r="G21" s="10">
        <f t="shared" si="0"/>
        <v>1038065</v>
      </c>
    </row>
    <row r="22" spans="1:8" x14ac:dyDescent="0.25">
      <c r="A22" s="5">
        <v>16</v>
      </c>
      <c r="B22" s="6">
        <v>45357</v>
      </c>
      <c r="C22" s="7">
        <v>122</v>
      </c>
      <c r="D22" s="8" t="s">
        <v>24</v>
      </c>
      <c r="E22" s="7">
        <v>99492</v>
      </c>
      <c r="F22" s="9"/>
      <c r="G22" s="10">
        <f t="shared" si="0"/>
        <v>99492</v>
      </c>
    </row>
    <row r="23" spans="1:8" x14ac:dyDescent="0.25">
      <c r="A23" s="5">
        <v>17</v>
      </c>
      <c r="B23" s="6">
        <v>45357</v>
      </c>
      <c r="C23" s="7">
        <v>123</v>
      </c>
      <c r="D23" s="8" t="s">
        <v>24</v>
      </c>
      <c r="E23" s="7">
        <v>438485</v>
      </c>
      <c r="F23" s="9"/>
      <c r="G23" s="10">
        <f t="shared" si="0"/>
        <v>438485</v>
      </c>
    </row>
    <row r="24" spans="1:8" x14ac:dyDescent="0.25">
      <c r="A24" s="5">
        <v>18</v>
      </c>
      <c r="B24" s="6">
        <v>45357</v>
      </c>
      <c r="C24" s="7">
        <v>124</v>
      </c>
      <c r="D24" s="8" t="s">
        <v>24</v>
      </c>
      <c r="E24" s="7">
        <v>257730</v>
      </c>
      <c r="F24" s="9"/>
      <c r="G24" s="10">
        <f t="shared" si="0"/>
        <v>257730</v>
      </c>
    </row>
    <row r="25" spans="1:8" x14ac:dyDescent="0.25">
      <c r="A25" s="5">
        <v>19</v>
      </c>
      <c r="B25" s="6">
        <v>45357</v>
      </c>
      <c r="C25" s="7">
        <v>126</v>
      </c>
      <c r="D25" s="8" t="s">
        <v>24</v>
      </c>
      <c r="E25" s="7">
        <v>92080</v>
      </c>
      <c r="F25" s="9"/>
      <c r="G25" s="10">
        <f t="shared" si="0"/>
        <v>92080</v>
      </c>
    </row>
    <row r="26" spans="1:8" x14ac:dyDescent="0.25">
      <c r="A26" s="5">
        <v>20</v>
      </c>
      <c r="B26" s="6">
        <v>45357</v>
      </c>
      <c r="C26" s="7">
        <v>127</v>
      </c>
      <c r="D26" s="8" t="s">
        <v>24</v>
      </c>
      <c r="E26" s="7">
        <v>76406</v>
      </c>
      <c r="F26" s="9"/>
      <c r="G26" s="10">
        <f t="shared" si="0"/>
        <v>76406</v>
      </c>
    </row>
    <row r="27" spans="1:8" x14ac:dyDescent="0.25">
      <c r="A27" s="5">
        <v>21</v>
      </c>
      <c r="B27" s="6">
        <v>45358</v>
      </c>
      <c r="C27" s="7">
        <v>128</v>
      </c>
      <c r="D27" s="8" t="s">
        <v>8</v>
      </c>
      <c r="E27" s="7">
        <v>1131360</v>
      </c>
      <c r="F27" s="9"/>
      <c r="G27" s="10">
        <f t="shared" si="0"/>
        <v>1131360</v>
      </c>
    </row>
    <row r="28" spans="1:8" x14ac:dyDescent="0.25">
      <c r="A28" s="5">
        <v>22</v>
      </c>
      <c r="B28" s="6">
        <v>45363</v>
      </c>
      <c r="C28" s="7">
        <v>129</v>
      </c>
      <c r="D28" s="8" t="s">
        <v>25</v>
      </c>
      <c r="E28" s="7">
        <v>236239</v>
      </c>
      <c r="F28" s="9"/>
      <c r="G28" s="10">
        <f t="shared" si="0"/>
        <v>236239</v>
      </c>
    </row>
    <row r="29" spans="1:8" x14ac:dyDescent="0.25">
      <c r="B29" s="28" t="s">
        <v>12</v>
      </c>
      <c r="C29" s="29"/>
      <c r="D29" s="3"/>
      <c r="E29" s="12">
        <f>SUM(E7:E28)</f>
        <v>26475109</v>
      </c>
      <c r="F29" s="13">
        <f>SUM(F7:F28)</f>
        <v>0</v>
      </c>
      <c r="G29" s="14">
        <f t="shared" si="0"/>
        <v>26475109</v>
      </c>
    </row>
    <row r="30" spans="1:8" x14ac:dyDescent="0.25">
      <c r="C30" s="15"/>
      <c r="E30" s="15"/>
    </row>
    <row r="31" spans="1:8" x14ac:dyDescent="0.25">
      <c r="C31" s="15"/>
      <c r="E31" s="15"/>
    </row>
    <row r="32" spans="1:8" x14ac:dyDescent="0.25">
      <c r="C32" s="15"/>
      <c r="H32" s="11"/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</sheetData>
  <mergeCells count="1">
    <mergeCell ref="B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5CCD-503D-4B44-905F-78C0D3CD6607}">
  <dimension ref="A3:H51"/>
  <sheetViews>
    <sheetView topLeftCell="A3" workbookViewId="0">
      <selection activeCell="J13" sqref="J13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8" ht="18.75" x14ac:dyDescent="0.3">
      <c r="D3" s="1" t="s">
        <v>13</v>
      </c>
    </row>
    <row r="6" spans="1:8" s="4" customFormat="1" x14ac:dyDescent="0.25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1:8" x14ac:dyDescent="0.25">
      <c r="A7" s="5">
        <v>1</v>
      </c>
      <c r="B7" s="6">
        <v>45386</v>
      </c>
      <c r="C7" s="7">
        <v>131</v>
      </c>
      <c r="D7" s="8" t="s">
        <v>9</v>
      </c>
      <c r="E7" s="7">
        <v>3124223</v>
      </c>
      <c r="F7" s="9"/>
      <c r="G7" s="10">
        <f>+E7-F7</f>
        <v>3124223</v>
      </c>
    </row>
    <row r="8" spans="1:8" x14ac:dyDescent="0.25">
      <c r="A8" s="5">
        <v>2</v>
      </c>
      <c r="B8" s="6">
        <v>45386</v>
      </c>
      <c r="C8" s="7">
        <v>132</v>
      </c>
      <c r="D8" s="8" t="s">
        <v>17</v>
      </c>
      <c r="E8" s="7">
        <v>2355904</v>
      </c>
      <c r="F8" s="9"/>
      <c r="G8" s="10">
        <f t="shared" ref="G8:G26" si="0">+E8-F8</f>
        <v>2355904</v>
      </c>
    </row>
    <row r="9" spans="1:8" x14ac:dyDescent="0.25">
      <c r="A9" s="5">
        <v>3</v>
      </c>
      <c r="B9" s="6">
        <v>45386</v>
      </c>
      <c r="C9" s="7">
        <v>133</v>
      </c>
      <c r="D9" s="8" t="s">
        <v>20</v>
      </c>
      <c r="E9" s="7">
        <v>237000</v>
      </c>
      <c r="F9" s="9">
        <v>237000</v>
      </c>
      <c r="G9" s="10">
        <f t="shared" si="0"/>
        <v>0</v>
      </c>
    </row>
    <row r="10" spans="1:8" x14ac:dyDescent="0.25">
      <c r="A10" s="5">
        <v>4</v>
      </c>
      <c r="B10" s="6">
        <v>45386</v>
      </c>
      <c r="C10" s="7">
        <v>134</v>
      </c>
      <c r="D10" s="8" t="s">
        <v>19</v>
      </c>
      <c r="E10" s="7">
        <v>5690897</v>
      </c>
      <c r="F10" s="9"/>
      <c r="G10" s="10">
        <f t="shared" si="0"/>
        <v>5690897</v>
      </c>
    </row>
    <row r="11" spans="1:8" x14ac:dyDescent="0.25">
      <c r="A11" s="5">
        <v>5</v>
      </c>
      <c r="B11" s="6">
        <v>45393</v>
      </c>
      <c r="C11" s="7">
        <v>135</v>
      </c>
      <c r="D11" s="8" t="s">
        <v>17</v>
      </c>
      <c r="E11" s="7">
        <v>1332811</v>
      </c>
      <c r="F11" s="9"/>
      <c r="G11" s="10">
        <f t="shared" si="0"/>
        <v>1332811</v>
      </c>
    </row>
    <row r="12" spans="1:8" x14ac:dyDescent="0.25">
      <c r="A12" s="5">
        <v>6</v>
      </c>
      <c r="B12" s="6">
        <v>45393</v>
      </c>
      <c r="C12" s="7">
        <v>136</v>
      </c>
      <c r="D12" s="8" t="s">
        <v>17</v>
      </c>
      <c r="E12" s="7">
        <v>367661</v>
      </c>
      <c r="F12" s="9"/>
      <c r="G12" s="10">
        <f t="shared" si="0"/>
        <v>367661</v>
      </c>
    </row>
    <row r="13" spans="1:8" x14ac:dyDescent="0.25">
      <c r="A13" s="5">
        <v>7</v>
      </c>
      <c r="B13" s="6">
        <v>45393</v>
      </c>
      <c r="C13" s="7">
        <v>137</v>
      </c>
      <c r="D13" s="8" t="s">
        <v>17</v>
      </c>
      <c r="E13" s="7">
        <v>655432</v>
      </c>
      <c r="F13" s="9"/>
      <c r="G13" s="10">
        <f t="shared" si="0"/>
        <v>655432</v>
      </c>
    </row>
    <row r="14" spans="1:8" x14ac:dyDescent="0.25">
      <c r="A14" s="5">
        <v>8</v>
      </c>
      <c r="B14" s="6">
        <v>45393</v>
      </c>
      <c r="C14" s="7">
        <v>139</v>
      </c>
      <c r="D14" s="8" t="s">
        <v>25</v>
      </c>
      <c r="E14" s="7">
        <v>349076</v>
      </c>
      <c r="F14" s="9"/>
      <c r="G14" s="10">
        <f t="shared" si="0"/>
        <v>349076</v>
      </c>
      <c r="H14" s="11"/>
    </row>
    <row r="15" spans="1:8" x14ac:dyDescent="0.25">
      <c r="A15" s="5">
        <v>9</v>
      </c>
      <c r="B15" s="6">
        <v>45393</v>
      </c>
      <c r="C15" s="7">
        <v>140</v>
      </c>
      <c r="D15" s="8" t="s">
        <v>26</v>
      </c>
      <c r="E15" s="7">
        <v>240000</v>
      </c>
      <c r="F15" s="9">
        <v>240000</v>
      </c>
      <c r="G15" s="10">
        <f t="shared" si="0"/>
        <v>0</v>
      </c>
    </row>
    <row r="16" spans="1:8" x14ac:dyDescent="0.25">
      <c r="A16" s="5">
        <v>10</v>
      </c>
      <c r="B16" s="6">
        <v>45393</v>
      </c>
      <c r="C16" s="7">
        <v>141</v>
      </c>
      <c r="D16" s="8" t="s">
        <v>11</v>
      </c>
      <c r="E16" s="7">
        <v>514000</v>
      </c>
      <c r="F16" s="9"/>
      <c r="G16" s="10">
        <f t="shared" si="0"/>
        <v>514000</v>
      </c>
    </row>
    <row r="17" spans="1:8" x14ac:dyDescent="0.25">
      <c r="A17" s="5">
        <v>11</v>
      </c>
      <c r="B17" s="6">
        <v>45393</v>
      </c>
      <c r="C17" s="7">
        <v>142</v>
      </c>
      <c r="D17" s="8" t="s">
        <v>10</v>
      </c>
      <c r="E17" s="7">
        <v>210000</v>
      </c>
      <c r="F17" s="9"/>
      <c r="G17" s="10">
        <f t="shared" si="0"/>
        <v>210000</v>
      </c>
    </row>
    <row r="18" spans="1:8" x14ac:dyDescent="0.25">
      <c r="A18" s="5">
        <v>12</v>
      </c>
      <c r="B18" s="6">
        <v>45393</v>
      </c>
      <c r="C18" s="7">
        <v>143</v>
      </c>
      <c r="D18" s="8" t="s">
        <v>21</v>
      </c>
      <c r="E18" s="7">
        <v>374798</v>
      </c>
      <c r="F18" s="9"/>
      <c r="G18" s="10">
        <f t="shared" si="0"/>
        <v>374798</v>
      </c>
    </row>
    <row r="19" spans="1:8" x14ac:dyDescent="0.25">
      <c r="A19" s="5">
        <v>13</v>
      </c>
      <c r="B19" s="6">
        <v>45393</v>
      </c>
      <c r="C19" s="7">
        <v>144</v>
      </c>
      <c r="D19" s="8" t="s">
        <v>27</v>
      </c>
      <c r="E19" s="7">
        <v>165178</v>
      </c>
      <c r="F19" s="9"/>
      <c r="G19" s="10">
        <f t="shared" si="0"/>
        <v>165178</v>
      </c>
    </row>
    <row r="20" spans="1:8" x14ac:dyDescent="0.25">
      <c r="A20" s="5">
        <v>14</v>
      </c>
      <c r="B20" s="6">
        <v>45393</v>
      </c>
      <c r="C20" s="7">
        <v>145</v>
      </c>
      <c r="D20" s="8" t="s">
        <v>7</v>
      </c>
      <c r="E20" s="7">
        <v>1187556</v>
      </c>
      <c r="F20" s="9"/>
      <c r="G20" s="10">
        <f t="shared" si="0"/>
        <v>1187556</v>
      </c>
    </row>
    <row r="21" spans="1:8" x14ac:dyDescent="0.25">
      <c r="A21" s="5">
        <v>15</v>
      </c>
      <c r="B21" s="6">
        <v>45393</v>
      </c>
      <c r="C21" s="7">
        <v>146</v>
      </c>
      <c r="D21" s="8" t="s">
        <v>19</v>
      </c>
      <c r="E21" s="7">
        <v>2000000</v>
      </c>
      <c r="F21" s="9"/>
      <c r="G21" s="10">
        <f t="shared" si="0"/>
        <v>2000000</v>
      </c>
    </row>
    <row r="22" spans="1:8" x14ac:dyDescent="0.25">
      <c r="A22" s="5">
        <v>16</v>
      </c>
      <c r="B22" s="6">
        <v>45393</v>
      </c>
      <c r="C22" s="7">
        <v>147</v>
      </c>
      <c r="D22" s="8" t="s">
        <v>24</v>
      </c>
      <c r="E22" s="7">
        <v>374543</v>
      </c>
      <c r="F22" s="9"/>
      <c r="G22" s="10">
        <f t="shared" si="0"/>
        <v>374543</v>
      </c>
    </row>
    <row r="23" spans="1:8" x14ac:dyDescent="0.25">
      <c r="A23" s="5">
        <v>17</v>
      </c>
      <c r="B23" s="6">
        <v>45393</v>
      </c>
      <c r="C23" s="7">
        <v>148</v>
      </c>
      <c r="D23" s="8" t="s">
        <v>24</v>
      </c>
      <c r="E23" s="7">
        <v>553142</v>
      </c>
      <c r="F23" s="9"/>
      <c r="G23" s="10">
        <f t="shared" si="0"/>
        <v>553142</v>
      </c>
    </row>
    <row r="24" spans="1:8" x14ac:dyDescent="0.25">
      <c r="A24" s="5">
        <v>18</v>
      </c>
      <c r="B24" s="6">
        <v>45393</v>
      </c>
      <c r="C24" s="7">
        <v>149</v>
      </c>
      <c r="D24" s="8" t="s">
        <v>14</v>
      </c>
      <c r="E24" s="7">
        <v>3800290</v>
      </c>
      <c r="F24" s="9"/>
      <c r="G24" s="10">
        <f t="shared" si="0"/>
        <v>3800290</v>
      </c>
    </row>
    <row r="25" spans="1:8" x14ac:dyDescent="0.25">
      <c r="A25" s="5">
        <v>19</v>
      </c>
      <c r="B25" s="6">
        <v>45393</v>
      </c>
      <c r="C25" s="7">
        <v>150</v>
      </c>
      <c r="D25" s="8" t="s">
        <v>8</v>
      </c>
      <c r="E25" s="7">
        <v>7317055</v>
      </c>
      <c r="F25" s="9"/>
      <c r="G25" s="10">
        <f t="shared" si="0"/>
        <v>7317055</v>
      </c>
    </row>
    <row r="26" spans="1:8" x14ac:dyDescent="0.25">
      <c r="B26" s="28" t="s">
        <v>12</v>
      </c>
      <c r="C26" s="29"/>
      <c r="D26" s="3"/>
      <c r="E26" s="12">
        <f>SUM(E7:E25)</f>
        <v>30849566</v>
      </c>
      <c r="F26" s="13">
        <f>SUM(F7:F25)</f>
        <v>477000</v>
      </c>
      <c r="G26" s="14">
        <f t="shared" si="0"/>
        <v>30372566</v>
      </c>
    </row>
    <row r="27" spans="1:8" x14ac:dyDescent="0.25">
      <c r="C27" s="15"/>
      <c r="E27" s="15"/>
    </row>
    <row r="28" spans="1:8" x14ac:dyDescent="0.25">
      <c r="C28" s="15"/>
      <c r="E28" s="15"/>
    </row>
    <row r="29" spans="1:8" x14ac:dyDescent="0.25">
      <c r="C29" s="15"/>
      <c r="H29" s="11"/>
    </row>
    <row r="30" spans="1:8" x14ac:dyDescent="0.25">
      <c r="C30" s="15"/>
    </row>
    <row r="31" spans="1:8" x14ac:dyDescent="0.25">
      <c r="C31" s="15"/>
    </row>
    <row r="32" spans="1:8" x14ac:dyDescent="0.25">
      <c r="C32" s="15"/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</sheetData>
  <mergeCells count="1">
    <mergeCell ref="B26:C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9BCB-C9E2-4708-93FD-4491E9D581E0}">
  <dimension ref="A3:H52"/>
  <sheetViews>
    <sheetView topLeftCell="A5" workbookViewId="0">
      <selection activeCell="F4" sqref="F4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8" ht="18.75" x14ac:dyDescent="0.3">
      <c r="D3" s="1" t="s">
        <v>13</v>
      </c>
    </row>
    <row r="6" spans="1:8" s="4" customFormat="1" x14ac:dyDescent="0.25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1:8" x14ac:dyDescent="0.25">
      <c r="A7" s="5">
        <v>1</v>
      </c>
      <c r="B7" s="6">
        <v>45412</v>
      </c>
      <c r="C7" s="7">
        <v>151</v>
      </c>
      <c r="D7" s="8" t="s">
        <v>19</v>
      </c>
      <c r="E7" s="7">
        <v>5459688</v>
      </c>
      <c r="F7" s="9"/>
      <c r="G7" s="10">
        <f>+E7-F7</f>
        <v>5459688</v>
      </c>
    </row>
    <row r="8" spans="1:8" x14ac:dyDescent="0.25">
      <c r="A8" s="5">
        <v>2</v>
      </c>
      <c r="B8" s="6">
        <v>45412</v>
      </c>
      <c r="C8" s="7">
        <v>152</v>
      </c>
      <c r="D8" s="8" t="s">
        <v>9</v>
      </c>
      <c r="E8" s="7">
        <v>2839807</v>
      </c>
      <c r="F8" s="9"/>
      <c r="G8" s="10">
        <f t="shared" ref="G8:G27" si="0">+E8-F8</f>
        <v>2839807</v>
      </c>
    </row>
    <row r="9" spans="1:8" x14ac:dyDescent="0.25">
      <c r="A9" s="5">
        <v>3</v>
      </c>
      <c r="B9" s="6">
        <v>45412</v>
      </c>
      <c r="C9" s="7">
        <v>155</v>
      </c>
      <c r="D9" s="8" t="s">
        <v>17</v>
      </c>
      <c r="E9" s="7">
        <v>3394818</v>
      </c>
      <c r="F9" s="9"/>
      <c r="G9" s="10">
        <f t="shared" si="0"/>
        <v>3394818</v>
      </c>
    </row>
    <row r="10" spans="1:8" x14ac:dyDescent="0.25">
      <c r="A10" s="5">
        <v>4</v>
      </c>
      <c r="B10" s="6">
        <v>45412</v>
      </c>
      <c r="C10" s="7">
        <v>156</v>
      </c>
      <c r="D10" s="8" t="s">
        <v>26</v>
      </c>
      <c r="E10" s="7">
        <v>240008</v>
      </c>
      <c r="F10" s="9"/>
      <c r="G10" s="10">
        <f t="shared" si="0"/>
        <v>240008</v>
      </c>
    </row>
    <row r="11" spans="1:8" x14ac:dyDescent="0.25">
      <c r="A11" s="5">
        <v>5</v>
      </c>
      <c r="B11" s="6">
        <v>45414</v>
      </c>
      <c r="C11" s="7">
        <v>157</v>
      </c>
      <c r="D11" s="8" t="s">
        <v>20</v>
      </c>
      <c r="E11" s="7">
        <v>237000</v>
      </c>
      <c r="F11" s="9"/>
      <c r="G11" s="10">
        <f t="shared" si="0"/>
        <v>237000</v>
      </c>
    </row>
    <row r="12" spans="1:8" x14ac:dyDescent="0.25">
      <c r="A12" s="5">
        <v>6</v>
      </c>
      <c r="B12" s="6">
        <v>45414</v>
      </c>
      <c r="C12" s="7">
        <v>158</v>
      </c>
      <c r="D12" s="8" t="s">
        <v>27</v>
      </c>
      <c r="E12" s="7">
        <v>165178</v>
      </c>
      <c r="F12" s="9"/>
      <c r="G12" s="10">
        <f t="shared" si="0"/>
        <v>165178</v>
      </c>
    </row>
    <row r="13" spans="1:8" x14ac:dyDescent="0.25">
      <c r="A13" s="5">
        <v>7</v>
      </c>
      <c r="B13" s="6">
        <v>45414</v>
      </c>
      <c r="C13" s="7">
        <v>159</v>
      </c>
      <c r="D13" s="8" t="s">
        <v>8</v>
      </c>
      <c r="E13" s="7">
        <v>5281444</v>
      </c>
      <c r="F13" s="9"/>
      <c r="G13" s="10">
        <f t="shared" si="0"/>
        <v>5281444</v>
      </c>
    </row>
    <row r="14" spans="1:8" x14ac:dyDescent="0.25">
      <c r="A14" s="5">
        <v>8</v>
      </c>
      <c r="B14" s="6">
        <v>45414</v>
      </c>
      <c r="C14" s="7">
        <v>160</v>
      </c>
      <c r="D14" s="8" t="s">
        <v>14</v>
      </c>
      <c r="E14" s="7">
        <v>3800290</v>
      </c>
      <c r="F14" s="9"/>
      <c r="G14" s="10">
        <f t="shared" si="0"/>
        <v>3800290</v>
      </c>
      <c r="H14" s="11"/>
    </row>
    <row r="15" spans="1:8" x14ac:dyDescent="0.25">
      <c r="A15" s="5">
        <v>9</v>
      </c>
      <c r="B15" s="6">
        <v>45414</v>
      </c>
      <c r="C15" s="7">
        <v>161</v>
      </c>
      <c r="D15" s="8" t="s">
        <v>25</v>
      </c>
      <c r="E15" s="7">
        <v>333623</v>
      </c>
      <c r="F15" s="9"/>
      <c r="G15" s="10">
        <f t="shared" si="0"/>
        <v>333623</v>
      </c>
    </row>
    <row r="16" spans="1:8" x14ac:dyDescent="0.25">
      <c r="A16" s="5">
        <v>10</v>
      </c>
      <c r="B16" s="6">
        <v>45414</v>
      </c>
      <c r="C16" s="7">
        <v>162</v>
      </c>
      <c r="D16" s="8" t="s">
        <v>7</v>
      </c>
      <c r="E16" s="7">
        <v>1030216</v>
      </c>
      <c r="F16" s="9"/>
      <c r="G16" s="10">
        <f t="shared" si="0"/>
        <v>1030216</v>
      </c>
    </row>
    <row r="17" spans="1:8" x14ac:dyDescent="0.25">
      <c r="A17" s="5">
        <v>11</v>
      </c>
      <c r="B17" s="6">
        <v>45414</v>
      </c>
      <c r="C17" s="7">
        <v>164</v>
      </c>
      <c r="D17" s="8" t="s">
        <v>28</v>
      </c>
      <c r="E17" s="7">
        <v>964577</v>
      </c>
      <c r="F17" s="9"/>
      <c r="G17" s="10">
        <f t="shared" si="0"/>
        <v>964577</v>
      </c>
    </row>
    <row r="18" spans="1:8" x14ac:dyDescent="0.25">
      <c r="A18" s="5">
        <v>12</v>
      </c>
      <c r="B18" s="6">
        <v>45414</v>
      </c>
      <c r="C18" s="7">
        <v>165</v>
      </c>
      <c r="D18" s="8" t="s">
        <v>10</v>
      </c>
      <c r="E18" s="7">
        <v>210000</v>
      </c>
      <c r="F18" s="9"/>
      <c r="G18" s="10">
        <f t="shared" si="0"/>
        <v>210000</v>
      </c>
    </row>
    <row r="19" spans="1:8" x14ac:dyDescent="0.25">
      <c r="A19" s="5">
        <v>13</v>
      </c>
      <c r="B19" s="6">
        <v>45418</v>
      </c>
      <c r="C19" s="7">
        <v>166</v>
      </c>
      <c r="D19" s="8" t="s">
        <v>24</v>
      </c>
      <c r="E19" s="7">
        <v>685994</v>
      </c>
      <c r="F19" s="9"/>
      <c r="G19" s="10">
        <f t="shared" si="0"/>
        <v>685994</v>
      </c>
    </row>
    <row r="20" spans="1:8" x14ac:dyDescent="0.25">
      <c r="A20" s="5">
        <v>14</v>
      </c>
      <c r="B20" s="6">
        <v>45418</v>
      </c>
      <c r="C20" s="7">
        <v>167</v>
      </c>
      <c r="D20" s="8" t="s">
        <v>28</v>
      </c>
      <c r="E20" s="7">
        <v>5736219</v>
      </c>
      <c r="F20" s="9"/>
      <c r="G20" s="10">
        <f t="shared" si="0"/>
        <v>5736219</v>
      </c>
    </row>
    <row r="21" spans="1:8" x14ac:dyDescent="0.25">
      <c r="A21" s="5">
        <v>15</v>
      </c>
      <c r="B21" s="6">
        <v>45418</v>
      </c>
      <c r="C21" s="7">
        <v>168</v>
      </c>
      <c r="D21" s="8" t="s">
        <v>29</v>
      </c>
      <c r="E21" s="7">
        <v>1036368</v>
      </c>
      <c r="F21" s="9"/>
      <c r="G21" s="10">
        <f t="shared" si="0"/>
        <v>1036368</v>
      </c>
    </row>
    <row r="22" spans="1:8" x14ac:dyDescent="0.25">
      <c r="A22" s="5">
        <v>16</v>
      </c>
      <c r="B22" s="6">
        <v>45420</v>
      </c>
      <c r="C22" s="7">
        <v>169</v>
      </c>
      <c r="D22" s="8" t="s">
        <v>11</v>
      </c>
      <c r="E22" s="7">
        <v>514000</v>
      </c>
      <c r="F22" s="9"/>
      <c r="G22" s="10">
        <f t="shared" si="0"/>
        <v>514000</v>
      </c>
    </row>
    <row r="23" spans="1:8" x14ac:dyDescent="0.25">
      <c r="A23" s="5">
        <v>17</v>
      </c>
      <c r="B23" s="6">
        <v>45425</v>
      </c>
      <c r="C23" s="7">
        <v>170</v>
      </c>
      <c r="D23" s="8" t="s">
        <v>30</v>
      </c>
      <c r="E23" s="7">
        <v>904792</v>
      </c>
      <c r="F23" s="9"/>
      <c r="G23" s="10">
        <f t="shared" si="0"/>
        <v>904792</v>
      </c>
    </row>
    <row r="24" spans="1:8" x14ac:dyDescent="0.25">
      <c r="A24" s="5">
        <v>18</v>
      </c>
      <c r="B24" s="6">
        <v>45425</v>
      </c>
      <c r="C24" s="7">
        <v>171</v>
      </c>
      <c r="D24" s="8" t="s">
        <v>31</v>
      </c>
      <c r="E24" s="7">
        <v>900000</v>
      </c>
      <c r="F24" s="9"/>
      <c r="G24" s="10">
        <f t="shared" si="0"/>
        <v>900000</v>
      </c>
    </row>
    <row r="25" spans="1:8" x14ac:dyDescent="0.25">
      <c r="A25" s="5">
        <v>19</v>
      </c>
      <c r="B25" s="6">
        <v>45433</v>
      </c>
      <c r="C25" s="7">
        <v>176</v>
      </c>
      <c r="D25" s="8" t="s">
        <v>32</v>
      </c>
      <c r="E25" s="7">
        <v>965700</v>
      </c>
      <c r="F25" s="9"/>
      <c r="G25" s="10">
        <f t="shared" si="0"/>
        <v>965700</v>
      </c>
    </row>
    <row r="26" spans="1:8" x14ac:dyDescent="0.25">
      <c r="A26" s="5">
        <v>20</v>
      </c>
      <c r="B26" s="6">
        <v>45433</v>
      </c>
      <c r="C26" s="7">
        <v>177</v>
      </c>
      <c r="D26" s="8" t="s">
        <v>32</v>
      </c>
      <c r="E26" s="7">
        <v>1630794</v>
      </c>
      <c r="F26" s="9"/>
      <c r="G26" s="10">
        <f t="shared" si="0"/>
        <v>1630794</v>
      </c>
    </row>
    <row r="27" spans="1:8" x14ac:dyDescent="0.25">
      <c r="B27" s="28" t="s">
        <v>12</v>
      </c>
      <c r="C27" s="29"/>
      <c r="D27" s="3"/>
      <c r="E27" s="12">
        <f>SUM(E7:E26)</f>
        <v>36330516</v>
      </c>
      <c r="F27" s="13">
        <f>SUM(F7:F26)</f>
        <v>0</v>
      </c>
      <c r="G27" s="14">
        <f t="shared" si="0"/>
        <v>36330516</v>
      </c>
    </row>
    <row r="28" spans="1:8" x14ac:dyDescent="0.25">
      <c r="C28" s="15"/>
      <c r="E28" s="15"/>
    </row>
    <row r="29" spans="1:8" x14ac:dyDescent="0.25">
      <c r="C29" s="15"/>
      <c r="E29" s="15"/>
    </row>
    <row r="30" spans="1:8" x14ac:dyDescent="0.25">
      <c r="C30" s="15"/>
      <c r="H30" s="11"/>
    </row>
    <row r="31" spans="1:8" x14ac:dyDescent="0.25">
      <c r="C31" s="15"/>
    </row>
    <row r="32" spans="1:8" x14ac:dyDescent="0.25">
      <c r="C32" s="15"/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</sheetData>
  <mergeCells count="1">
    <mergeCell ref="B27:C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521D-973D-4C58-8FA2-FAAA0A48099F}">
  <dimension ref="A3:H53"/>
  <sheetViews>
    <sheetView topLeftCell="A9" workbookViewId="0">
      <selection activeCell="I25" sqref="I25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36.71093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4" customFormat="1" x14ac:dyDescent="0.25">
      <c r="A6" s="2" t="s">
        <v>0</v>
      </c>
      <c r="B6" s="2" t="s">
        <v>1</v>
      </c>
      <c r="C6" s="3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45433</v>
      </c>
      <c r="C7" s="7">
        <v>196</v>
      </c>
      <c r="D7" s="8" t="s">
        <v>28</v>
      </c>
      <c r="E7" s="7">
        <v>4469545</v>
      </c>
      <c r="F7" s="9"/>
      <c r="G7" s="10">
        <f>+E7-F7</f>
        <v>4469545</v>
      </c>
    </row>
    <row r="8" spans="1:7" x14ac:dyDescent="0.25">
      <c r="A8" s="5">
        <v>2</v>
      </c>
      <c r="B8" s="6">
        <v>45433</v>
      </c>
      <c r="C8" s="7">
        <v>176</v>
      </c>
      <c r="D8" s="8" t="s">
        <v>32</v>
      </c>
      <c r="E8" s="7">
        <v>965700</v>
      </c>
      <c r="F8" s="9"/>
      <c r="G8" s="10">
        <f t="shared" ref="G8:G28" si="0">+E8-F8</f>
        <v>965700</v>
      </c>
    </row>
    <row r="9" spans="1:7" x14ac:dyDescent="0.25">
      <c r="A9" s="5">
        <v>3</v>
      </c>
      <c r="B9" s="6">
        <v>45433</v>
      </c>
      <c r="C9" s="7">
        <v>177</v>
      </c>
      <c r="D9" s="8" t="s">
        <v>32</v>
      </c>
      <c r="E9" s="7">
        <v>1630794</v>
      </c>
      <c r="F9" s="9"/>
      <c r="G9" s="10">
        <f t="shared" si="0"/>
        <v>1630794</v>
      </c>
    </row>
    <row r="10" spans="1:7" x14ac:dyDescent="0.25">
      <c r="A10" s="5">
        <v>4</v>
      </c>
      <c r="B10" s="6">
        <v>45443</v>
      </c>
      <c r="C10" s="7">
        <v>178</v>
      </c>
      <c r="D10" s="8" t="s">
        <v>25</v>
      </c>
      <c r="E10" s="7">
        <v>349075</v>
      </c>
      <c r="F10" s="9"/>
      <c r="G10" s="10">
        <f t="shared" si="0"/>
        <v>349075</v>
      </c>
    </row>
    <row r="11" spans="1:7" x14ac:dyDescent="0.25">
      <c r="A11" s="5">
        <v>5</v>
      </c>
      <c r="B11" s="6">
        <v>45441</v>
      </c>
      <c r="C11" s="7">
        <v>179</v>
      </c>
      <c r="D11" s="8" t="s">
        <v>9</v>
      </c>
      <c r="E11" s="7">
        <v>2456213</v>
      </c>
      <c r="F11" s="9"/>
      <c r="G11" s="10">
        <f t="shared" si="0"/>
        <v>2456213</v>
      </c>
    </row>
    <row r="12" spans="1:7" x14ac:dyDescent="0.25">
      <c r="A12" s="5">
        <v>6</v>
      </c>
      <c r="B12" s="6">
        <v>45443</v>
      </c>
      <c r="C12" s="7">
        <v>181</v>
      </c>
      <c r="D12" s="8" t="s">
        <v>7</v>
      </c>
      <c r="E12" s="7">
        <v>504558</v>
      </c>
      <c r="F12" s="9"/>
      <c r="G12" s="10">
        <f t="shared" si="0"/>
        <v>504558</v>
      </c>
    </row>
    <row r="13" spans="1:7" x14ac:dyDescent="0.25">
      <c r="A13" s="5">
        <v>7</v>
      </c>
      <c r="B13" s="6">
        <v>45441</v>
      </c>
      <c r="C13" s="7">
        <v>182</v>
      </c>
      <c r="D13" s="8" t="s">
        <v>34</v>
      </c>
      <c r="E13" s="7">
        <v>165178</v>
      </c>
      <c r="F13" s="9"/>
      <c r="G13" s="10">
        <f t="shared" si="0"/>
        <v>165178</v>
      </c>
    </row>
    <row r="14" spans="1:7" x14ac:dyDescent="0.25">
      <c r="A14" s="5">
        <v>8</v>
      </c>
      <c r="B14" s="6">
        <v>45441</v>
      </c>
      <c r="C14" s="7">
        <v>183</v>
      </c>
      <c r="D14" s="8" t="s">
        <v>33</v>
      </c>
      <c r="E14" s="7">
        <v>237000</v>
      </c>
      <c r="F14" s="9"/>
      <c r="G14" s="10">
        <f t="shared" ref="G14:G15" si="1">+E14-F14</f>
        <v>237000</v>
      </c>
    </row>
    <row r="15" spans="1:7" x14ac:dyDescent="0.25">
      <c r="A15" s="5">
        <v>9</v>
      </c>
      <c r="B15" s="6">
        <v>45441</v>
      </c>
      <c r="C15" s="7">
        <v>184</v>
      </c>
      <c r="D15" s="8" t="s">
        <v>11</v>
      </c>
      <c r="E15" s="7">
        <v>260000</v>
      </c>
      <c r="F15" s="9"/>
      <c r="G15" s="10">
        <f t="shared" si="1"/>
        <v>260000</v>
      </c>
    </row>
    <row r="16" spans="1:7" x14ac:dyDescent="0.25">
      <c r="A16" s="5">
        <v>10</v>
      </c>
      <c r="B16" s="6">
        <v>45441</v>
      </c>
      <c r="C16" s="7">
        <v>185</v>
      </c>
      <c r="D16" s="8" t="s">
        <v>17</v>
      </c>
      <c r="E16" s="7">
        <v>342390</v>
      </c>
      <c r="F16" s="9"/>
      <c r="G16" s="10">
        <f t="shared" si="0"/>
        <v>342390</v>
      </c>
    </row>
    <row r="17" spans="1:8" x14ac:dyDescent="0.25">
      <c r="A17" s="5">
        <v>11</v>
      </c>
      <c r="B17" s="6">
        <v>45441</v>
      </c>
      <c r="C17" s="7">
        <v>186</v>
      </c>
      <c r="D17" s="8" t="s">
        <v>17</v>
      </c>
      <c r="E17" s="7">
        <v>2004901</v>
      </c>
      <c r="F17" s="9"/>
      <c r="G17" s="10">
        <f t="shared" si="0"/>
        <v>2004901</v>
      </c>
    </row>
    <row r="18" spans="1:8" x14ac:dyDescent="0.25">
      <c r="A18" s="5">
        <v>12</v>
      </c>
      <c r="B18" s="6">
        <v>45442</v>
      </c>
      <c r="C18" s="7">
        <v>187</v>
      </c>
      <c r="D18" s="8" t="s">
        <v>9</v>
      </c>
      <c r="E18" s="7">
        <v>1500000</v>
      </c>
      <c r="F18" s="9"/>
      <c r="G18" s="10">
        <f t="shared" si="0"/>
        <v>1500000</v>
      </c>
    </row>
    <row r="19" spans="1:8" x14ac:dyDescent="0.25">
      <c r="A19" s="5">
        <v>13</v>
      </c>
      <c r="B19" s="6">
        <v>45442</v>
      </c>
      <c r="C19" s="7">
        <v>188</v>
      </c>
      <c r="D19" s="8" t="s">
        <v>19</v>
      </c>
      <c r="E19" s="7">
        <v>4637255</v>
      </c>
      <c r="F19" s="9"/>
      <c r="G19" s="10">
        <f t="shared" si="0"/>
        <v>4637255</v>
      </c>
    </row>
    <row r="20" spans="1:8" x14ac:dyDescent="0.25">
      <c r="A20" s="5">
        <v>14</v>
      </c>
      <c r="B20" s="6">
        <v>45448</v>
      </c>
      <c r="C20" s="7">
        <v>189</v>
      </c>
      <c r="D20" s="8" t="s">
        <v>15</v>
      </c>
      <c r="E20" s="7">
        <v>240008</v>
      </c>
      <c r="F20" s="9"/>
      <c r="G20" s="10">
        <f t="shared" si="0"/>
        <v>240008</v>
      </c>
    </row>
    <row r="21" spans="1:8" x14ac:dyDescent="0.25">
      <c r="A21" s="5">
        <v>15</v>
      </c>
      <c r="B21" s="6">
        <v>45448</v>
      </c>
      <c r="C21" s="7">
        <v>190</v>
      </c>
      <c r="D21" s="8" t="s">
        <v>10</v>
      </c>
      <c r="E21" s="7">
        <v>210000</v>
      </c>
      <c r="F21" s="9"/>
      <c r="G21" s="10">
        <f t="shared" si="0"/>
        <v>210000</v>
      </c>
    </row>
    <row r="22" spans="1:8" x14ac:dyDescent="0.25">
      <c r="A22" s="5">
        <v>16</v>
      </c>
      <c r="B22" s="6">
        <v>45448</v>
      </c>
      <c r="C22" s="7">
        <v>191</v>
      </c>
      <c r="D22" s="8" t="s">
        <v>14</v>
      </c>
      <c r="E22" s="7">
        <v>3800290</v>
      </c>
      <c r="F22" s="9"/>
      <c r="G22" s="10">
        <f t="shared" si="0"/>
        <v>3800290</v>
      </c>
    </row>
    <row r="23" spans="1:8" x14ac:dyDescent="0.25">
      <c r="A23" s="5">
        <v>18</v>
      </c>
      <c r="B23" s="6">
        <v>45448</v>
      </c>
      <c r="C23" s="7">
        <v>192</v>
      </c>
      <c r="D23" s="8" t="s">
        <v>36</v>
      </c>
      <c r="E23" s="7">
        <v>7317055</v>
      </c>
      <c r="F23" s="9"/>
      <c r="G23" s="10">
        <f t="shared" si="0"/>
        <v>7317055</v>
      </c>
    </row>
    <row r="24" spans="1:8" x14ac:dyDescent="0.25">
      <c r="A24" s="5">
        <v>19</v>
      </c>
      <c r="B24" s="6">
        <v>45448</v>
      </c>
      <c r="C24" s="7">
        <v>195</v>
      </c>
      <c r="D24" s="8" t="s">
        <v>37</v>
      </c>
      <c r="E24" s="7">
        <v>776004</v>
      </c>
      <c r="F24" s="9"/>
      <c r="G24" s="10">
        <f t="shared" si="0"/>
        <v>776004</v>
      </c>
    </row>
    <row r="25" spans="1:8" x14ac:dyDescent="0.25">
      <c r="A25" s="5">
        <v>20</v>
      </c>
      <c r="B25" s="6">
        <v>45433</v>
      </c>
      <c r="C25" s="7">
        <v>197</v>
      </c>
      <c r="D25" s="8" t="s">
        <v>28</v>
      </c>
      <c r="E25" s="7">
        <v>2826896</v>
      </c>
      <c r="F25" s="9"/>
      <c r="G25" s="10">
        <f t="shared" si="0"/>
        <v>2826896</v>
      </c>
    </row>
    <row r="26" spans="1:8" x14ac:dyDescent="0.25">
      <c r="A26" s="5">
        <v>21</v>
      </c>
      <c r="B26" s="6">
        <v>45433</v>
      </c>
      <c r="C26" s="7">
        <v>198</v>
      </c>
      <c r="D26" s="8" t="s">
        <v>28</v>
      </c>
      <c r="E26" s="7">
        <v>4469539</v>
      </c>
      <c r="F26" s="9"/>
      <c r="G26" s="10">
        <f t="shared" si="0"/>
        <v>4469539</v>
      </c>
    </row>
    <row r="27" spans="1:8" x14ac:dyDescent="0.25">
      <c r="A27" s="5">
        <v>22</v>
      </c>
      <c r="B27" s="6"/>
      <c r="C27" s="7"/>
      <c r="D27" s="8"/>
      <c r="E27" s="7"/>
      <c r="F27" s="9"/>
      <c r="G27" s="10">
        <f t="shared" si="0"/>
        <v>0</v>
      </c>
    </row>
    <row r="28" spans="1:8" x14ac:dyDescent="0.25">
      <c r="B28" s="28" t="s">
        <v>12</v>
      </c>
      <c r="C28" s="29"/>
      <c r="D28" s="3"/>
      <c r="E28" s="12">
        <f>SUM(E7:E27)</f>
        <v>39162401</v>
      </c>
      <c r="F28" s="13">
        <f>SUM(F7:F27)</f>
        <v>0</v>
      </c>
      <c r="G28" s="14">
        <f t="shared" si="0"/>
        <v>39162401</v>
      </c>
    </row>
    <row r="29" spans="1:8" x14ac:dyDescent="0.25">
      <c r="C29" s="15"/>
      <c r="E29" s="15"/>
    </row>
    <row r="30" spans="1:8" x14ac:dyDescent="0.25">
      <c r="C30" s="15"/>
      <c r="E30" s="15"/>
    </row>
    <row r="31" spans="1:8" x14ac:dyDescent="0.25">
      <c r="C31" s="15"/>
      <c r="H31" s="11"/>
    </row>
    <row r="32" spans="1:8" x14ac:dyDescent="0.25">
      <c r="C32" s="15"/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</sheetData>
  <mergeCells count="1">
    <mergeCell ref="B28:C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1B21-DE09-4974-9780-AC50F66B9900}">
  <dimension ref="A3:H57"/>
  <sheetViews>
    <sheetView topLeftCell="A13" workbookViewId="0">
      <selection activeCell="G36" sqref="G36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45453</v>
      </c>
      <c r="C7" s="7">
        <v>199</v>
      </c>
      <c r="D7" s="8" t="s">
        <v>32</v>
      </c>
      <c r="E7" s="7">
        <v>6712221</v>
      </c>
      <c r="F7" s="9"/>
      <c r="G7" s="10">
        <f t="shared" ref="G7" si="0">+E7-F7</f>
        <v>6712221</v>
      </c>
    </row>
    <row r="8" spans="1:7" x14ac:dyDescent="0.25">
      <c r="A8" s="5">
        <v>2</v>
      </c>
      <c r="B8" s="6">
        <v>45457</v>
      </c>
      <c r="C8" s="7">
        <v>1</v>
      </c>
      <c r="D8" s="8" t="s">
        <v>38</v>
      </c>
      <c r="E8" s="7">
        <v>1426459</v>
      </c>
      <c r="F8" s="9"/>
      <c r="G8" s="10">
        <f>+E8-F8</f>
        <v>1426459</v>
      </c>
    </row>
    <row r="9" spans="1:7" x14ac:dyDescent="0.25">
      <c r="A9" s="5">
        <v>3</v>
      </c>
      <c r="B9" s="6">
        <v>45468</v>
      </c>
      <c r="C9" s="7">
        <v>2</v>
      </c>
      <c r="D9" s="8" t="s">
        <v>30</v>
      </c>
      <c r="E9" s="7">
        <v>771051</v>
      </c>
      <c r="F9" s="9"/>
      <c r="G9" s="10">
        <f t="shared" ref="G9:G32" si="1">+E9-F9</f>
        <v>771051</v>
      </c>
    </row>
    <row r="10" spans="1:7" x14ac:dyDescent="0.25">
      <c r="A10" s="5">
        <v>4</v>
      </c>
      <c r="B10" s="6">
        <v>45468</v>
      </c>
      <c r="C10" s="7">
        <v>3</v>
      </c>
      <c r="D10" s="8" t="s">
        <v>39</v>
      </c>
      <c r="E10" s="7">
        <v>163685</v>
      </c>
      <c r="F10" s="9"/>
      <c r="G10" s="10">
        <f t="shared" si="1"/>
        <v>163685</v>
      </c>
    </row>
    <row r="11" spans="1:7" x14ac:dyDescent="0.25">
      <c r="A11" s="5">
        <v>5</v>
      </c>
      <c r="B11" s="6">
        <v>45468</v>
      </c>
      <c r="C11" s="7">
        <v>4</v>
      </c>
      <c r="D11" s="8" t="s">
        <v>40</v>
      </c>
      <c r="E11" s="7">
        <v>2744483</v>
      </c>
      <c r="F11" s="9"/>
      <c r="G11" s="10">
        <f t="shared" si="1"/>
        <v>2744483</v>
      </c>
    </row>
    <row r="12" spans="1:7" x14ac:dyDescent="0.25">
      <c r="A12" s="5">
        <v>6</v>
      </c>
      <c r="B12" s="6">
        <v>45470</v>
      </c>
      <c r="C12" s="7">
        <v>5</v>
      </c>
      <c r="D12" s="8" t="s">
        <v>8</v>
      </c>
      <c r="E12" s="7">
        <v>5959981</v>
      </c>
      <c r="F12" s="9"/>
      <c r="G12" s="10">
        <f t="shared" si="1"/>
        <v>5959981</v>
      </c>
    </row>
    <row r="13" spans="1:7" x14ac:dyDescent="0.25">
      <c r="A13" s="5">
        <v>7</v>
      </c>
      <c r="B13" s="6">
        <v>45470</v>
      </c>
      <c r="C13" s="7">
        <v>6</v>
      </c>
      <c r="D13" s="8" t="s">
        <v>14</v>
      </c>
      <c r="E13" s="7">
        <v>3800290</v>
      </c>
      <c r="F13" s="9"/>
      <c r="G13" s="10">
        <f t="shared" si="1"/>
        <v>3800290</v>
      </c>
    </row>
    <row r="14" spans="1:7" x14ac:dyDescent="0.25">
      <c r="A14" s="5">
        <v>8</v>
      </c>
      <c r="B14" s="6">
        <v>45471</v>
      </c>
      <c r="C14" s="7">
        <v>7</v>
      </c>
      <c r="D14" s="8" t="s">
        <v>17</v>
      </c>
      <c r="E14" s="7">
        <v>1332811</v>
      </c>
      <c r="F14" s="9"/>
      <c r="G14" s="10">
        <f t="shared" si="1"/>
        <v>1332811</v>
      </c>
    </row>
    <row r="15" spans="1:7" x14ac:dyDescent="0.25">
      <c r="A15" s="5">
        <v>9</v>
      </c>
      <c r="B15" s="6">
        <v>45471</v>
      </c>
      <c r="C15" s="7">
        <v>8</v>
      </c>
      <c r="D15" s="8" t="s">
        <v>17</v>
      </c>
      <c r="E15" s="7">
        <v>367277</v>
      </c>
      <c r="F15" s="9"/>
      <c r="G15" s="10">
        <f t="shared" si="1"/>
        <v>367277</v>
      </c>
    </row>
    <row r="16" spans="1:7" x14ac:dyDescent="0.25">
      <c r="A16" s="5">
        <v>10</v>
      </c>
      <c r="B16" s="6">
        <v>45471</v>
      </c>
      <c r="C16" s="7">
        <v>9</v>
      </c>
      <c r="D16" s="8" t="s">
        <v>17</v>
      </c>
      <c r="E16" s="7">
        <v>2410968</v>
      </c>
      <c r="F16" s="9"/>
      <c r="G16" s="10">
        <f t="shared" si="1"/>
        <v>2410968</v>
      </c>
    </row>
    <row r="17" spans="1:7" x14ac:dyDescent="0.25">
      <c r="A17" s="5">
        <v>11</v>
      </c>
      <c r="B17" s="6">
        <v>45475</v>
      </c>
      <c r="C17" s="7">
        <v>10</v>
      </c>
      <c r="D17" s="8" t="s">
        <v>19</v>
      </c>
      <c r="E17" s="7">
        <v>4042036</v>
      </c>
      <c r="F17" s="9"/>
      <c r="G17" s="10">
        <f t="shared" si="1"/>
        <v>4042036</v>
      </c>
    </row>
    <row r="18" spans="1:7" x14ac:dyDescent="0.25">
      <c r="A18" s="5">
        <v>12</v>
      </c>
      <c r="B18" s="6">
        <v>45475</v>
      </c>
      <c r="C18" s="7">
        <v>11</v>
      </c>
      <c r="D18" s="8" t="s">
        <v>25</v>
      </c>
      <c r="E18" s="7">
        <v>349075</v>
      </c>
      <c r="F18" s="9"/>
      <c r="G18" s="10">
        <f t="shared" si="1"/>
        <v>349075</v>
      </c>
    </row>
    <row r="19" spans="1:7" x14ac:dyDescent="0.25">
      <c r="A19" s="5">
        <v>13</v>
      </c>
      <c r="B19" s="6">
        <v>45475</v>
      </c>
      <c r="C19" s="7">
        <v>12</v>
      </c>
      <c r="D19" s="8" t="s">
        <v>34</v>
      </c>
      <c r="E19" s="7">
        <v>165178</v>
      </c>
      <c r="F19" s="9"/>
      <c r="G19" s="10">
        <f t="shared" si="1"/>
        <v>165178</v>
      </c>
    </row>
    <row r="20" spans="1:7" x14ac:dyDescent="0.25">
      <c r="A20" s="5">
        <v>14</v>
      </c>
      <c r="B20" s="6">
        <v>45475</v>
      </c>
      <c r="C20" s="7">
        <v>13</v>
      </c>
      <c r="D20" s="8" t="s">
        <v>15</v>
      </c>
      <c r="E20" s="7">
        <v>240008</v>
      </c>
      <c r="F20" s="9"/>
      <c r="G20" s="10">
        <f t="shared" si="1"/>
        <v>240008</v>
      </c>
    </row>
    <row r="21" spans="1:7" x14ac:dyDescent="0.25">
      <c r="A21" s="5">
        <v>15</v>
      </c>
      <c r="B21" s="6">
        <v>45475</v>
      </c>
      <c r="C21" s="7">
        <v>14</v>
      </c>
      <c r="D21" s="8" t="s">
        <v>41</v>
      </c>
      <c r="E21" s="7">
        <v>210000</v>
      </c>
      <c r="F21" s="9"/>
      <c r="G21" s="10">
        <f t="shared" si="1"/>
        <v>210000</v>
      </c>
    </row>
    <row r="22" spans="1:7" x14ac:dyDescent="0.25">
      <c r="A22" s="5">
        <v>16</v>
      </c>
      <c r="B22" s="6">
        <v>45475</v>
      </c>
      <c r="C22" s="7">
        <v>15</v>
      </c>
      <c r="D22" s="8" t="s">
        <v>11</v>
      </c>
      <c r="E22" s="7">
        <v>260000</v>
      </c>
      <c r="F22" s="9"/>
      <c r="G22" s="10">
        <f t="shared" si="1"/>
        <v>260000</v>
      </c>
    </row>
    <row r="23" spans="1:7" x14ac:dyDescent="0.25">
      <c r="A23" s="5">
        <v>18</v>
      </c>
      <c r="B23" s="6">
        <v>45475</v>
      </c>
      <c r="C23" s="7">
        <v>16</v>
      </c>
      <c r="D23" s="8" t="s">
        <v>42</v>
      </c>
      <c r="E23" s="7">
        <v>237000</v>
      </c>
      <c r="F23" s="9"/>
      <c r="G23" s="10">
        <f t="shared" si="1"/>
        <v>237000</v>
      </c>
    </row>
    <row r="24" spans="1:7" x14ac:dyDescent="0.25">
      <c r="A24" s="5">
        <v>19</v>
      </c>
      <c r="B24" s="6">
        <v>45475</v>
      </c>
      <c r="C24" s="7">
        <v>17</v>
      </c>
      <c r="D24" s="8" t="s">
        <v>7</v>
      </c>
      <c r="E24" s="7">
        <v>177491</v>
      </c>
      <c r="F24" s="9"/>
      <c r="G24" s="10">
        <f t="shared" si="1"/>
        <v>177491</v>
      </c>
    </row>
    <row r="25" spans="1:7" x14ac:dyDescent="0.25">
      <c r="A25" s="5">
        <v>20</v>
      </c>
      <c r="B25" s="6">
        <v>45482</v>
      </c>
      <c r="C25" s="7">
        <v>19</v>
      </c>
      <c r="D25" s="8" t="s">
        <v>17</v>
      </c>
      <c r="E25" s="7">
        <v>2722972</v>
      </c>
      <c r="F25" s="9"/>
      <c r="G25" s="10">
        <f t="shared" si="1"/>
        <v>2722972</v>
      </c>
    </row>
    <row r="26" spans="1:7" x14ac:dyDescent="0.25">
      <c r="A26" s="5">
        <v>21</v>
      </c>
      <c r="B26" s="6">
        <v>45482</v>
      </c>
      <c r="C26" s="7">
        <v>20</v>
      </c>
      <c r="D26" s="8" t="s">
        <v>18</v>
      </c>
      <c r="E26" s="7">
        <v>332783</v>
      </c>
      <c r="F26" s="9"/>
      <c r="G26" s="10">
        <f t="shared" si="1"/>
        <v>332783</v>
      </c>
    </row>
    <row r="27" spans="1:7" x14ac:dyDescent="0.25">
      <c r="A27" s="5">
        <v>22</v>
      </c>
      <c r="B27" s="6">
        <v>45478</v>
      </c>
      <c r="C27" s="7">
        <v>23</v>
      </c>
      <c r="D27" s="8" t="s">
        <v>43</v>
      </c>
      <c r="E27" s="7">
        <v>155857</v>
      </c>
      <c r="F27" s="9"/>
      <c r="G27" s="10">
        <f t="shared" si="1"/>
        <v>155857</v>
      </c>
    </row>
    <row r="28" spans="1:7" x14ac:dyDescent="0.25">
      <c r="A28" s="5">
        <v>23</v>
      </c>
      <c r="B28" s="6">
        <v>45468</v>
      </c>
      <c r="C28" s="7">
        <v>24</v>
      </c>
      <c r="D28" s="8" t="s">
        <v>43</v>
      </c>
      <c r="E28" s="7">
        <v>528792</v>
      </c>
      <c r="F28" s="9"/>
      <c r="G28" s="10">
        <f t="shared" si="1"/>
        <v>528792</v>
      </c>
    </row>
    <row r="29" spans="1:7" x14ac:dyDescent="0.25">
      <c r="A29" s="5">
        <v>24</v>
      </c>
      <c r="B29" s="6">
        <v>45482</v>
      </c>
      <c r="C29" s="7">
        <v>21</v>
      </c>
      <c r="D29" s="8" t="s">
        <v>32</v>
      </c>
      <c r="E29" s="7">
        <v>1791647</v>
      </c>
      <c r="F29" s="9"/>
      <c r="G29" s="10">
        <f t="shared" si="1"/>
        <v>1791647</v>
      </c>
    </row>
    <row r="30" spans="1:7" x14ac:dyDescent="0.25">
      <c r="A30" s="5">
        <v>25</v>
      </c>
      <c r="B30" s="6">
        <v>45483</v>
      </c>
      <c r="C30" s="7">
        <v>25</v>
      </c>
      <c r="D30" s="8" t="s">
        <v>32</v>
      </c>
      <c r="E30" s="7">
        <v>10174236</v>
      </c>
      <c r="F30" s="9"/>
      <c r="G30" s="10">
        <f t="shared" si="1"/>
        <v>10174236</v>
      </c>
    </row>
    <row r="31" spans="1:7" x14ac:dyDescent="0.25">
      <c r="A31" s="5">
        <v>26</v>
      </c>
      <c r="B31" s="6"/>
      <c r="C31" s="7"/>
      <c r="D31" s="8"/>
      <c r="E31" s="7"/>
      <c r="F31" s="9"/>
      <c r="G31" s="10">
        <f t="shared" si="1"/>
        <v>0</v>
      </c>
    </row>
    <row r="32" spans="1:7" x14ac:dyDescent="0.25">
      <c r="B32" s="28" t="s">
        <v>12</v>
      </c>
      <c r="C32" s="29"/>
      <c r="D32" s="3"/>
      <c r="E32" s="12">
        <f>SUM(E8:E31)</f>
        <v>40364080</v>
      </c>
      <c r="F32" s="13">
        <f>SUM(F8:F31)</f>
        <v>0</v>
      </c>
      <c r="G32" s="14">
        <f t="shared" si="1"/>
        <v>40364080</v>
      </c>
    </row>
    <row r="33" spans="3:8" x14ac:dyDescent="0.25">
      <c r="C33" s="15"/>
      <c r="E33" s="15"/>
    </row>
    <row r="34" spans="3:8" x14ac:dyDescent="0.25">
      <c r="C34" s="15"/>
      <c r="E34" s="15"/>
    </row>
    <row r="35" spans="3:8" x14ac:dyDescent="0.25">
      <c r="C35" s="15"/>
      <c r="H35" s="11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  <row r="57" spans="3:3" x14ac:dyDescent="0.25">
      <c r="C57" s="15"/>
    </row>
  </sheetData>
  <mergeCells count="1">
    <mergeCell ref="B32:C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8693-D559-483D-A415-7ADDC641464F}">
  <dimension ref="A3:H55"/>
  <sheetViews>
    <sheetView topLeftCell="A6" workbookViewId="0">
      <selection activeCell="I24" sqref="I24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2</v>
      </c>
      <c r="B7" s="6">
        <v>45506</v>
      </c>
      <c r="C7" s="7">
        <v>27</v>
      </c>
      <c r="D7" s="8" t="s">
        <v>11</v>
      </c>
      <c r="E7" s="7">
        <v>259879</v>
      </c>
      <c r="F7" s="9">
        <v>259879</v>
      </c>
      <c r="G7" s="10">
        <f>+E7-F7</f>
        <v>0</v>
      </c>
    </row>
    <row r="8" spans="1:7" x14ac:dyDescent="0.25">
      <c r="A8" s="5">
        <v>3</v>
      </c>
      <c r="B8" s="6">
        <v>45506</v>
      </c>
      <c r="C8" s="7">
        <v>28</v>
      </c>
      <c r="D8" s="8" t="s">
        <v>44</v>
      </c>
      <c r="E8" s="7">
        <v>237002</v>
      </c>
      <c r="F8" s="9"/>
      <c r="G8" s="10">
        <f t="shared" ref="G8:G29" si="0">+E8-F8</f>
        <v>237002</v>
      </c>
    </row>
    <row r="9" spans="1:7" x14ac:dyDescent="0.25">
      <c r="A9" s="5">
        <v>4</v>
      </c>
      <c r="B9" s="6">
        <v>45506</v>
      </c>
      <c r="C9" s="7">
        <v>29</v>
      </c>
      <c r="D9" s="8" t="s">
        <v>25</v>
      </c>
      <c r="E9" s="7">
        <v>349099</v>
      </c>
      <c r="F9" s="9"/>
      <c r="G9" s="10">
        <f t="shared" si="0"/>
        <v>349099</v>
      </c>
    </row>
    <row r="10" spans="1:7" x14ac:dyDescent="0.25">
      <c r="A10" s="5">
        <v>5</v>
      </c>
      <c r="B10" s="6">
        <v>45506</v>
      </c>
      <c r="C10" s="7">
        <v>30</v>
      </c>
      <c r="D10" s="8" t="s">
        <v>14</v>
      </c>
      <c r="E10" s="7">
        <v>3800016</v>
      </c>
      <c r="F10" s="9"/>
      <c r="G10" s="10">
        <f t="shared" si="0"/>
        <v>3800016</v>
      </c>
    </row>
    <row r="11" spans="1:7" x14ac:dyDescent="0.25">
      <c r="A11" s="5">
        <v>6</v>
      </c>
      <c r="B11" s="6">
        <v>45506</v>
      </c>
      <c r="C11" s="7">
        <v>31</v>
      </c>
      <c r="D11" s="8" t="s">
        <v>34</v>
      </c>
      <c r="E11" s="7">
        <v>165297</v>
      </c>
      <c r="F11" s="9">
        <v>165297</v>
      </c>
      <c r="G11" s="10">
        <f t="shared" si="0"/>
        <v>0</v>
      </c>
    </row>
    <row r="12" spans="1:7" x14ac:dyDescent="0.25">
      <c r="A12" s="5">
        <v>7</v>
      </c>
      <c r="B12" s="6">
        <v>45506</v>
      </c>
      <c r="C12" s="7">
        <v>32</v>
      </c>
      <c r="D12" s="8" t="s">
        <v>41</v>
      </c>
      <c r="E12" s="7">
        <v>210032</v>
      </c>
      <c r="F12" s="9"/>
      <c r="G12" s="10">
        <f t="shared" si="0"/>
        <v>210032</v>
      </c>
    </row>
    <row r="13" spans="1:7" x14ac:dyDescent="0.25">
      <c r="A13" s="5">
        <v>8</v>
      </c>
      <c r="B13" s="6">
        <v>45506</v>
      </c>
      <c r="C13" s="7">
        <v>34</v>
      </c>
      <c r="D13" s="8" t="s">
        <v>17</v>
      </c>
      <c r="E13" s="7">
        <v>12480903</v>
      </c>
      <c r="F13" s="9"/>
      <c r="G13" s="10">
        <f t="shared" si="0"/>
        <v>12480903</v>
      </c>
    </row>
    <row r="14" spans="1:7" x14ac:dyDescent="0.25">
      <c r="A14" s="5">
        <v>9</v>
      </c>
      <c r="B14" s="6">
        <v>45506</v>
      </c>
      <c r="C14" s="7">
        <v>36</v>
      </c>
      <c r="D14" s="8" t="s">
        <v>17</v>
      </c>
      <c r="E14" s="7">
        <v>332801</v>
      </c>
      <c r="F14" s="9"/>
      <c r="G14" s="10">
        <f t="shared" si="0"/>
        <v>332801</v>
      </c>
    </row>
    <row r="15" spans="1:7" x14ac:dyDescent="0.25">
      <c r="A15" s="5">
        <v>10</v>
      </c>
      <c r="B15" s="6">
        <v>45506</v>
      </c>
      <c r="C15" s="7">
        <v>37</v>
      </c>
      <c r="D15" s="8" t="s">
        <v>9</v>
      </c>
      <c r="E15" s="7">
        <v>2777396</v>
      </c>
      <c r="F15" s="9"/>
      <c r="G15" s="10">
        <f t="shared" si="0"/>
        <v>2777396</v>
      </c>
    </row>
    <row r="16" spans="1:7" x14ac:dyDescent="0.25">
      <c r="A16" s="5">
        <v>11</v>
      </c>
      <c r="B16" s="6">
        <v>45506</v>
      </c>
      <c r="C16" s="7">
        <v>38</v>
      </c>
      <c r="D16" s="8" t="s">
        <v>7</v>
      </c>
      <c r="E16" s="7">
        <v>782931</v>
      </c>
      <c r="F16" s="9"/>
      <c r="G16" s="10">
        <f t="shared" si="0"/>
        <v>782931</v>
      </c>
    </row>
    <row r="17" spans="1:7" x14ac:dyDescent="0.25">
      <c r="A17" s="5">
        <v>12</v>
      </c>
      <c r="B17" s="6">
        <v>45512</v>
      </c>
      <c r="C17" s="7">
        <v>39</v>
      </c>
      <c r="D17" s="8" t="s">
        <v>19</v>
      </c>
      <c r="E17" s="7">
        <v>3852578</v>
      </c>
      <c r="F17" s="9"/>
      <c r="G17" s="10">
        <f t="shared" si="0"/>
        <v>3852578</v>
      </c>
    </row>
    <row r="18" spans="1:7" x14ac:dyDescent="0.25">
      <c r="A18" s="5">
        <v>13</v>
      </c>
      <c r="B18" s="6">
        <v>45512</v>
      </c>
      <c r="C18" s="7">
        <v>40</v>
      </c>
      <c r="D18" s="8" t="s">
        <v>18</v>
      </c>
      <c r="E18" s="7">
        <v>158251</v>
      </c>
      <c r="F18" s="9"/>
      <c r="G18" s="10">
        <f t="shared" si="0"/>
        <v>158251</v>
      </c>
    </row>
    <row r="19" spans="1:7" x14ac:dyDescent="0.25">
      <c r="A19" s="5">
        <v>14</v>
      </c>
      <c r="B19" s="6">
        <v>45513</v>
      </c>
      <c r="C19" s="7">
        <v>41</v>
      </c>
      <c r="D19" s="8" t="s">
        <v>43</v>
      </c>
      <c r="E19" s="7">
        <v>1239822</v>
      </c>
      <c r="F19" s="9"/>
      <c r="G19" s="10">
        <f t="shared" si="0"/>
        <v>1239822</v>
      </c>
    </row>
    <row r="20" spans="1:7" x14ac:dyDescent="0.25">
      <c r="A20" s="5">
        <v>15</v>
      </c>
      <c r="B20" s="6">
        <v>45513</v>
      </c>
      <c r="C20" s="7">
        <v>42</v>
      </c>
      <c r="D20" s="8" t="s">
        <v>43</v>
      </c>
      <c r="E20" s="7">
        <v>1847441</v>
      </c>
      <c r="F20" s="9"/>
      <c r="G20" s="10">
        <f t="shared" si="0"/>
        <v>1847441</v>
      </c>
    </row>
    <row r="21" spans="1:7" x14ac:dyDescent="0.25">
      <c r="A21" s="5">
        <v>16</v>
      </c>
      <c r="B21" s="6">
        <v>45513</v>
      </c>
      <c r="C21" s="7">
        <v>43</v>
      </c>
      <c r="D21" s="8" t="s">
        <v>43</v>
      </c>
      <c r="E21" s="7">
        <v>67148</v>
      </c>
      <c r="F21" s="9"/>
      <c r="G21" s="10">
        <f t="shared" si="0"/>
        <v>67148</v>
      </c>
    </row>
    <row r="22" spans="1:7" x14ac:dyDescent="0.25">
      <c r="A22" s="5">
        <v>18</v>
      </c>
      <c r="B22" s="6">
        <v>45506</v>
      </c>
      <c r="C22" s="7">
        <v>44</v>
      </c>
      <c r="D22" s="8" t="s">
        <v>17</v>
      </c>
      <c r="E22" s="7">
        <v>12288873</v>
      </c>
      <c r="F22" s="9"/>
      <c r="G22" s="10">
        <f t="shared" si="0"/>
        <v>12288873</v>
      </c>
    </row>
    <row r="23" spans="1:7" x14ac:dyDescent="0.25">
      <c r="A23" s="5">
        <v>19</v>
      </c>
      <c r="B23" s="6">
        <v>45509</v>
      </c>
      <c r="C23" s="7">
        <v>45</v>
      </c>
      <c r="D23" s="8" t="s">
        <v>45</v>
      </c>
      <c r="E23" s="7">
        <v>240000</v>
      </c>
      <c r="F23" s="9"/>
      <c r="G23" s="10">
        <f t="shared" si="0"/>
        <v>240000</v>
      </c>
    </row>
    <row r="24" spans="1:7" x14ac:dyDescent="0.25">
      <c r="A24" s="5">
        <v>20</v>
      </c>
      <c r="B24" s="6">
        <v>45513</v>
      </c>
      <c r="C24" s="7">
        <v>46</v>
      </c>
      <c r="D24" s="8" t="s">
        <v>32</v>
      </c>
      <c r="E24" s="7">
        <v>13548845</v>
      </c>
      <c r="F24" s="9"/>
      <c r="G24" s="10">
        <f t="shared" si="0"/>
        <v>13548845</v>
      </c>
    </row>
    <row r="25" spans="1:7" x14ac:dyDescent="0.25">
      <c r="A25" s="5">
        <v>21</v>
      </c>
      <c r="B25" s="6">
        <v>45530</v>
      </c>
      <c r="C25" s="7">
        <v>47</v>
      </c>
      <c r="D25" s="8" t="s">
        <v>46</v>
      </c>
      <c r="E25" s="7">
        <v>2780060</v>
      </c>
      <c r="F25" s="9"/>
      <c r="G25" s="10">
        <f t="shared" si="0"/>
        <v>2780060</v>
      </c>
    </row>
    <row r="26" spans="1:7" x14ac:dyDescent="0.25">
      <c r="A26" s="5">
        <v>22</v>
      </c>
      <c r="B26" s="6">
        <v>45530</v>
      </c>
      <c r="C26" s="7">
        <v>48</v>
      </c>
      <c r="D26" s="8" t="s">
        <v>47</v>
      </c>
      <c r="E26" s="7">
        <v>545392</v>
      </c>
      <c r="F26" s="9">
        <v>545392</v>
      </c>
      <c r="G26" s="10">
        <f t="shared" si="0"/>
        <v>0</v>
      </c>
    </row>
    <row r="27" spans="1:7" x14ac:dyDescent="0.25">
      <c r="A27" s="5">
        <v>23</v>
      </c>
      <c r="B27" s="6">
        <v>45531</v>
      </c>
      <c r="C27" s="7">
        <v>49</v>
      </c>
      <c r="D27" s="8" t="s">
        <v>48</v>
      </c>
      <c r="E27" s="7">
        <v>750002</v>
      </c>
      <c r="F27" s="9">
        <v>750002</v>
      </c>
      <c r="G27" s="10">
        <f t="shared" si="0"/>
        <v>0</v>
      </c>
    </row>
    <row r="28" spans="1:7" x14ac:dyDescent="0.25">
      <c r="A28" s="5">
        <v>24</v>
      </c>
      <c r="B28" s="6"/>
      <c r="C28" s="7"/>
      <c r="D28" s="8" t="s">
        <v>32</v>
      </c>
      <c r="E28" s="7"/>
      <c r="F28" s="9"/>
      <c r="G28" s="10">
        <f t="shared" si="0"/>
        <v>0</v>
      </c>
    </row>
    <row r="29" spans="1:7" x14ac:dyDescent="0.25">
      <c r="A29" s="5">
        <v>25</v>
      </c>
      <c r="B29" s="6"/>
      <c r="C29" s="7"/>
      <c r="D29" s="8"/>
      <c r="E29" s="7"/>
      <c r="F29" s="9"/>
      <c r="G29" s="10">
        <f t="shared" si="0"/>
        <v>0</v>
      </c>
    </row>
    <row r="30" spans="1:7" x14ac:dyDescent="0.25">
      <c r="B30" s="28" t="s">
        <v>12</v>
      </c>
      <c r="C30" s="29"/>
      <c r="D30" s="3"/>
      <c r="E30" s="12">
        <f>SUM(E7:E29)</f>
        <v>58713768</v>
      </c>
      <c r="F30" s="13">
        <f>SUM(F7:F29)</f>
        <v>1720570</v>
      </c>
      <c r="G30" s="14"/>
    </row>
    <row r="31" spans="1:7" x14ac:dyDescent="0.25">
      <c r="C31" s="15"/>
      <c r="E31" s="15"/>
    </row>
    <row r="32" spans="1:7" x14ac:dyDescent="0.25">
      <c r="C32" s="15"/>
      <c r="E32" s="15"/>
    </row>
    <row r="33" spans="3:8" x14ac:dyDescent="0.25">
      <c r="C33" s="15"/>
      <c r="H33" s="11"/>
    </row>
    <row r="34" spans="3:8" x14ac:dyDescent="0.25">
      <c r="C34" s="15"/>
    </row>
    <row r="35" spans="3:8" x14ac:dyDescent="0.25">
      <c r="C35" s="15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</sheetData>
  <mergeCells count="1">
    <mergeCell ref="B30:C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F58-A647-42B6-B2DC-7E94148AE1BF}">
  <dimension ref="A3:H56"/>
  <sheetViews>
    <sheetView topLeftCell="A3" workbookViewId="0">
      <selection activeCell="H21" sqref="H21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45537</v>
      </c>
      <c r="C7" s="7">
        <v>50</v>
      </c>
      <c r="D7" s="8" t="s">
        <v>17</v>
      </c>
      <c r="E7" s="7">
        <v>369458</v>
      </c>
      <c r="F7" s="9"/>
      <c r="G7" s="10">
        <f t="shared" ref="G7" si="0">+E7-F7</f>
        <v>369458</v>
      </c>
    </row>
    <row r="8" spans="1:7" x14ac:dyDescent="0.25">
      <c r="A8" s="5">
        <v>2</v>
      </c>
      <c r="B8" s="6">
        <v>45537</v>
      </c>
      <c r="C8" s="7">
        <v>51</v>
      </c>
      <c r="D8" s="8" t="s">
        <v>17</v>
      </c>
      <c r="E8" s="7">
        <v>1304366</v>
      </c>
      <c r="F8" s="9"/>
      <c r="G8" s="10">
        <f>+E8-F8</f>
        <v>1304366</v>
      </c>
    </row>
    <row r="9" spans="1:7" x14ac:dyDescent="0.25">
      <c r="A9" s="5">
        <v>3</v>
      </c>
      <c r="B9" s="6">
        <v>45537</v>
      </c>
      <c r="C9" s="7">
        <v>52</v>
      </c>
      <c r="D9" s="8" t="s">
        <v>9</v>
      </c>
      <c r="E9" s="7">
        <v>2652076</v>
      </c>
      <c r="F9" s="9">
        <v>2652076</v>
      </c>
      <c r="G9" s="10">
        <f t="shared" ref="G9:G31" si="1">+E9-F9</f>
        <v>0</v>
      </c>
    </row>
    <row r="10" spans="1:7" x14ac:dyDescent="0.25">
      <c r="A10" s="5">
        <v>4</v>
      </c>
      <c r="B10" s="6">
        <v>45537</v>
      </c>
      <c r="C10" s="7">
        <v>53</v>
      </c>
      <c r="D10" s="8" t="s">
        <v>19</v>
      </c>
      <c r="E10" s="7">
        <v>4115333</v>
      </c>
      <c r="F10" s="9"/>
      <c r="G10" s="10">
        <f t="shared" si="1"/>
        <v>4115333</v>
      </c>
    </row>
    <row r="11" spans="1:7" x14ac:dyDescent="0.25">
      <c r="A11" s="5">
        <v>5</v>
      </c>
      <c r="B11" s="6">
        <v>45537</v>
      </c>
      <c r="C11" s="7">
        <v>54</v>
      </c>
      <c r="D11" s="8" t="s">
        <v>49</v>
      </c>
      <c r="E11" s="7">
        <v>16200926</v>
      </c>
      <c r="F11" s="9"/>
      <c r="G11" s="10">
        <f t="shared" si="1"/>
        <v>16200926</v>
      </c>
    </row>
    <row r="12" spans="1:7" x14ac:dyDescent="0.25">
      <c r="A12" s="5">
        <v>6</v>
      </c>
      <c r="B12" s="6">
        <v>45537</v>
      </c>
      <c r="C12" s="7">
        <v>55</v>
      </c>
      <c r="D12" s="8" t="s">
        <v>32</v>
      </c>
      <c r="E12" s="7">
        <v>13768251</v>
      </c>
      <c r="F12" s="9"/>
      <c r="G12" s="10">
        <f t="shared" si="1"/>
        <v>13768251</v>
      </c>
    </row>
    <row r="13" spans="1:7" x14ac:dyDescent="0.25">
      <c r="A13" s="5">
        <v>7</v>
      </c>
      <c r="B13" s="6">
        <v>45534</v>
      </c>
      <c r="C13" s="7">
        <v>56</v>
      </c>
      <c r="D13" s="8" t="s">
        <v>50</v>
      </c>
      <c r="E13" s="7">
        <v>300000</v>
      </c>
      <c r="F13" s="9"/>
      <c r="G13" s="10">
        <f t="shared" si="1"/>
        <v>300000</v>
      </c>
    </row>
    <row r="14" spans="1:7" x14ac:dyDescent="0.25">
      <c r="A14" s="5">
        <v>8</v>
      </c>
      <c r="B14" s="6">
        <v>45541</v>
      </c>
      <c r="C14" s="7">
        <v>57</v>
      </c>
      <c r="D14" s="8" t="s">
        <v>11</v>
      </c>
      <c r="E14" s="7">
        <v>213978</v>
      </c>
      <c r="F14" s="9">
        <v>213978</v>
      </c>
      <c r="G14" s="10">
        <f t="shared" si="1"/>
        <v>0</v>
      </c>
    </row>
    <row r="15" spans="1:7" x14ac:dyDescent="0.25">
      <c r="A15" s="5">
        <v>9</v>
      </c>
      <c r="B15" s="6">
        <v>45541</v>
      </c>
      <c r="C15" s="7">
        <v>58</v>
      </c>
      <c r="D15" s="8" t="s">
        <v>17</v>
      </c>
      <c r="E15" s="7">
        <v>237414</v>
      </c>
      <c r="F15" s="9"/>
      <c r="G15" s="10">
        <f t="shared" si="1"/>
        <v>237414</v>
      </c>
    </row>
    <row r="16" spans="1:7" x14ac:dyDescent="0.25">
      <c r="A16" s="5">
        <v>10</v>
      </c>
      <c r="B16" s="6">
        <v>45541</v>
      </c>
      <c r="C16" s="7">
        <v>60</v>
      </c>
      <c r="D16" s="8" t="s">
        <v>51</v>
      </c>
      <c r="E16" s="7">
        <v>1593616</v>
      </c>
      <c r="F16" s="9"/>
      <c r="G16" s="10">
        <f t="shared" si="1"/>
        <v>1593616</v>
      </c>
    </row>
    <row r="17" spans="1:7" x14ac:dyDescent="0.25">
      <c r="A17" s="5">
        <v>11</v>
      </c>
      <c r="B17" s="6">
        <v>45541</v>
      </c>
      <c r="C17" s="7">
        <v>61</v>
      </c>
      <c r="D17" s="8" t="s">
        <v>7</v>
      </c>
      <c r="E17" s="7">
        <v>1961181</v>
      </c>
      <c r="F17" s="9"/>
      <c r="G17" s="10">
        <f t="shared" si="1"/>
        <v>1961181</v>
      </c>
    </row>
    <row r="18" spans="1:7" x14ac:dyDescent="0.25">
      <c r="A18" s="5">
        <v>12</v>
      </c>
      <c r="B18" s="6">
        <v>45541</v>
      </c>
      <c r="C18" s="7">
        <v>62</v>
      </c>
      <c r="D18" s="8" t="s">
        <v>27</v>
      </c>
      <c r="E18" s="7">
        <v>164627</v>
      </c>
      <c r="F18" s="9"/>
      <c r="G18" s="10">
        <f t="shared" si="1"/>
        <v>164627</v>
      </c>
    </row>
    <row r="19" spans="1:7" x14ac:dyDescent="0.25">
      <c r="A19" s="5">
        <v>13</v>
      </c>
      <c r="B19" s="6">
        <v>45541</v>
      </c>
      <c r="C19" s="7">
        <v>63</v>
      </c>
      <c r="D19" s="8" t="s">
        <v>52</v>
      </c>
      <c r="E19" s="7">
        <v>311137</v>
      </c>
      <c r="F19" s="9"/>
      <c r="G19" s="10">
        <f t="shared" si="1"/>
        <v>311137</v>
      </c>
    </row>
    <row r="20" spans="1:7" x14ac:dyDescent="0.25">
      <c r="A20" s="5">
        <v>14</v>
      </c>
      <c r="B20" s="6">
        <v>45541</v>
      </c>
      <c r="C20" s="7">
        <v>64</v>
      </c>
      <c r="D20" s="8" t="s">
        <v>52</v>
      </c>
      <c r="E20" s="7">
        <v>344439</v>
      </c>
      <c r="F20" s="9"/>
      <c r="G20" s="10">
        <f t="shared" si="1"/>
        <v>344439</v>
      </c>
    </row>
    <row r="21" spans="1:7" x14ac:dyDescent="0.25">
      <c r="A21" s="5">
        <v>15</v>
      </c>
      <c r="B21" s="6">
        <v>45541</v>
      </c>
      <c r="C21" s="7">
        <v>65</v>
      </c>
      <c r="D21" s="8" t="s">
        <v>45</v>
      </c>
      <c r="E21" s="7">
        <v>240000</v>
      </c>
      <c r="F21" s="9"/>
      <c r="G21" s="10">
        <f t="shared" si="1"/>
        <v>240000</v>
      </c>
    </row>
    <row r="22" spans="1:7" x14ac:dyDescent="0.25">
      <c r="A22" s="5">
        <v>16</v>
      </c>
      <c r="B22" s="6">
        <v>45541</v>
      </c>
      <c r="C22" s="7">
        <v>66</v>
      </c>
      <c r="D22" s="8" t="s">
        <v>53</v>
      </c>
      <c r="E22" s="7">
        <v>187305</v>
      </c>
      <c r="F22" s="9"/>
      <c r="G22" s="10">
        <f t="shared" si="1"/>
        <v>187305</v>
      </c>
    </row>
    <row r="23" spans="1:7" x14ac:dyDescent="0.25">
      <c r="A23" s="5">
        <v>18</v>
      </c>
      <c r="B23" s="6">
        <v>45541</v>
      </c>
      <c r="C23" s="7">
        <v>67</v>
      </c>
      <c r="D23" s="7" t="s">
        <v>25</v>
      </c>
      <c r="E23" s="7">
        <v>348469</v>
      </c>
      <c r="F23" s="9"/>
      <c r="G23" s="10">
        <f t="shared" si="1"/>
        <v>348469</v>
      </c>
    </row>
    <row r="24" spans="1:7" x14ac:dyDescent="0.25">
      <c r="A24" s="5">
        <v>19</v>
      </c>
      <c r="B24" s="6">
        <v>45541</v>
      </c>
      <c r="C24" s="7">
        <v>69</v>
      </c>
      <c r="D24" s="8" t="s">
        <v>54</v>
      </c>
      <c r="E24" s="7">
        <v>3800016</v>
      </c>
      <c r="F24" s="9"/>
      <c r="G24" s="10">
        <f t="shared" si="1"/>
        <v>3800016</v>
      </c>
    </row>
    <row r="25" spans="1:7" x14ac:dyDescent="0.25">
      <c r="A25" s="5">
        <v>20</v>
      </c>
      <c r="B25" s="6">
        <v>45537</v>
      </c>
      <c r="C25" s="7">
        <v>70</v>
      </c>
      <c r="D25" s="8" t="s">
        <v>17</v>
      </c>
      <c r="E25" s="7">
        <v>1234817</v>
      </c>
      <c r="F25" s="9"/>
      <c r="G25" s="10">
        <f t="shared" si="1"/>
        <v>1234817</v>
      </c>
    </row>
    <row r="26" spans="1:7" x14ac:dyDescent="0.25">
      <c r="A26" s="5">
        <v>21</v>
      </c>
      <c r="B26" s="6">
        <v>45537</v>
      </c>
      <c r="C26" s="7">
        <v>71</v>
      </c>
      <c r="D26" s="8" t="s">
        <v>17</v>
      </c>
      <c r="E26" s="7">
        <v>18127443</v>
      </c>
      <c r="F26" s="9"/>
      <c r="G26" s="10">
        <f t="shared" si="1"/>
        <v>18127443</v>
      </c>
    </row>
    <row r="27" spans="1:7" x14ac:dyDescent="0.25">
      <c r="A27" s="5">
        <v>22</v>
      </c>
      <c r="B27" s="6"/>
      <c r="C27" s="7"/>
      <c r="D27" s="8"/>
      <c r="E27" s="7"/>
      <c r="F27" s="9"/>
      <c r="G27" s="10">
        <f t="shared" si="1"/>
        <v>0</v>
      </c>
    </row>
    <row r="28" spans="1:7" x14ac:dyDescent="0.25">
      <c r="A28" s="5">
        <v>23</v>
      </c>
      <c r="B28" s="6"/>
      <c r="C28" s="7"/>
      <c r="D28" s="8"/>
      <c r="E28" s="7"/>
      <c r="F28" s="9"/>
      <c r="G28" s="10">
        <f t="shared" si="1"/>
        <v>0</v>
      </c>
    </row>
    <row r="29" spans="1:7" x14ac:dyDescent="0.25">
      <c r="A29" s="5">
        <v>24</v>
      </c>
      <c r="B29" s="6"/>
      <c r="C29" s="7"/>
      <c r="D29" s="8"/>
      <c r="E29" s="7"/>
      <c r="F29" s="9"/>
      <c r="G29" s="10">
        <f t="shared" si="1"/>
        <v>0</v>
      </c>
    </row>
    <row r="30" spans="1:7" x14ac:dyDescent="0.25">
      <c r="A30" s="5">
        <v>25</v>
      </c>
      <c r="B30" s="6"/>
      <c r="C30" s="7"/>
      <c r="D30" s="8"/>
      <c r="E30" s="7"/>
      <c r="F30" s="9"/>
      <c r="G30" s="10">
        <f t="shared" si="1"/>
        <v>0</v>
      </c>
    </row>
    <row r="31" spans="1:7" x14ac:dyDescent="0.25">
      <c r="B31" s="28" t="s">
        <v>12</v>
      </c>
      <c r="C31" s="29"/>
      <c r="D31" s="3"/>
      <c r="E31" s="12">
        <f>SUM(E8:E30)</f>
        <v>67105394</v>
      </c>
      <c r="F31" s="13">
        <f>SUM(F8:F30)</f>
        <v>2866054</v>
      </c>
      <c r="G31" s="14">
        <f t="shared" si="1"/>
        <v>64239340</v>
      </c>
    </row>
    <row r="32" spans="1:7" x14ac:dyDescent="0.25">
      <c r="C32" s="15"/>
      <c r="E32" s="15"/>
    </row>
    <row r="33" spans="3:8" x14ac:dyDescent="0.25">
      <c r="C33" s="15"/>
      <c r="E33" s="15"/>
    </row>
    <row r="34" spans="3:8" x14ac:dyDescent="0.25">
      <c r="C34" s="15"/>
      <c r="H34" s="11"/>
    </row>
    <row r="35" spans="3:8" x14ac:dyDescent="0.25">
      <c r="C35" s="15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</sheetData>
  <mergeCells count="1">
    <mergeCell ref="B31:C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D48D-41C2-471C-98E9-2B4C52A9A839}">
  <dimension ref="A3:H56"/>
  <sheetViews>
    <sheetView workbookViewId="0">
      <selection activeCell="H20" sqref="H20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45561</v>
      </c>
      <c r="C7" s="7">
        <v>72</v>
      </c>
      <c r="D7" s="8" t="s">
        <v>48</v>
      </c>
      <c r="E7" s="7">
        <v>1500004</v>
      </c>
      <c r="F7" s="9"/>
      <c r="G7" s="10">
        <f t="shared" ref="G7" si="0">+E7-F7</f>
        <v>1500004</v>
      </c>
    </row>
    <row r="8" spans="1:7" x14ac:dyDescent="0.25">
      <c r="A8" s="5">
        <v>2</v>
      </c>
      <c r="B8" s="6">
        <v>45561</v>
      </c>
      <c r="C8" s="7">
        <v>73</v>
      </c>
      <c r="D8" s="8" t="s">
        <v>17</v>
      </c>
      <c r="E8" s="7">
        <v>1304366</v>
      </c>
      <c r="F8" s="9"/>
      <c r="G8" s="10">
        <f>+E8-F8</f>
        <v>1304366</v>
      </c>
    </row>
    <row r="9" spans="1:7" x14ac:dyDescent="0.25">
      <c r="A9" s="5">
        <v>3</v>
      </c>
      <c r="B9" s="6">
        <v>45591</v>
      </c>
      <c r="C9" s="7">
        <v>74</v>
      </c>
      <c r="D9" s="8" t="s">
        <v>9</v>
      </c>
      <c r="E9" s="7">
        <v>2685722</v>
      </c>
      <c r="F9" s="9">
        <v>2685722</v>
      </c>
      <c r="G9" s="10">
        <f t="shared" ref="G9:G31" si="1">+E9-F9</f>
        <v>0</v>
      </c>
    </row>
    <row r="10" spans="1:7" x14ac:dyDescent="0.25">
      <c r="A10" s="5">
        <v>4</v>
      </c>
      <c r="B10" s="6">
        <v>45562</v>
      </c>
      <c r="C10" s="7">
        <v>75</v>
      </c>
      <c r="D10" s="8" t="s">
        <v>46</v>
      </c>
      <c r="E10" s="7">
        <v>821377</v>
      </c>
      <c r="F10" s="9">
        <v>821377</v>
      </c>
      <c r="G10" s="10">
        <f t="shared" si="1"/>
        <v>0</v>
      </c>
    </row>
    <row r="11" spans="1:7" x14ac:dyDescent="0.25">
      <c r="A11" s="5">
        <v>5</v>
      </c>
      <c r="B11" s="6">
        <v>45565</v>
      </c>
      <c r="C11" s="7">
        <v>76</v>
      </c>
      <c r="D11" s="8" t="s">
        <v>17</v>
      </c>
      <c r="E11" s="7">
        <v>19456008</v>
      </c>
      <c r="F11" s="9"/>
      <c r="G11" s="10">
        <f t="shared" si="1"/>
        <v>19456008</v>
      </c>
    </row>
    <row r="12" spans="1:7" x14ac:dyDescent="0.25">
      <c r="A12" s="5">
        <v>6</v>
      </c>
      <c r="B12" s="6">
        <v>45565</v>
      </c>
      <c r="C12" s="7">
        <v>77</v>
      </c>
      <c r="D12" s="8" t="s">
        <v>17</v>
      </c>
      <c r="E12" s="7">
        <v>393773</v>
      </c>
      <c r="F12" s="9"/>
      <c r="G12" s="10">
        <f t="shared" si="1"/>
        <v>393773</v>
      </c>
    </row>
    <row r="13" spans="1:7" x14ac:dyDescent="0.25">
      <c r="A13" s="5">
        <v>7</v>
      </c>
      <c r="B13" s="6">
        <v>45565</v>
      </c>
      <c r="C13" s="7">
        <v>78</v>
      </c>
      <c r="D13" s="8" t="s">
        <v>55</v>
      </c>
      <c r="E13" s="7">
        <v>3050183</v>
      </c>
      <c r="F13" s="9"/>
      <c r="G13" s="10">
        <f t="shared" si="1"/>
        <v>3050183</v>
      </c>
    </row>
    <row r="14" spans="1:7" x14ac:dyDescent="0.25">
      <c r="A14" s="5">
        <v>8</v>
      </c>
      <c r="B14" s="6">
        <v>45565</v>
      </c>
      <c r="C14" s="7">
        <v>79</v>
      </c>
      <c r="D14" s="8" t="s">
        <v>7</v>
      </c>
      <c r="E14" s="7">
        <v>979171</v>
      </c>
      <c r="F14" s="9"/>
      <c r="G14" s="10">
        <f t="shared" si="1"/>
        <v>979171</v>
      </c>
    </row>
    <row r="15" spans="1:7" x14ac:dyDescent="0.25">
      <c r="A15" s="5">
        <v>9</v>
      </c>
      <c r="B15" s="6">
        <v>45566</v>
      </c>
      <c r="C15" s="7">
        <v>81</v>
      </c>
      <c r="D15" s="8" t="s">
        <v>32</v>
      </c>
      <c r="E15" s="7">
        <v>13997112</v>
      </c>
      <c r="F15" s="9"/>
      <c r="G15" s="10">
        <f t="shared" si="1"/>
        <v>13997112</v>
      </c>
    </row>
    <row r="16" spans="1:7" x14ac:dyDescent="0.25">
      <c r="A16" s="5">
        <v>10</v>
      </c>
      <c r="B16" s="6">
        <v>45567</v>
      </c>
      <c r="C16" s="7">
        <v>82</v>
      </c>
      <c r="D16" s="8" t="s">
        <v>25</v>
      </c>
      <c r="E16" s="7">
        <v>348469</v>
      </c>
      <c r="F16" s="9"/>
      <c r="G16" s="10">
        <f t="shared" si="1"/>
        <v>348469</v>
      </c>
    </row>
    <row r="17" spans="1:7" x14ac:dyDescent="0.25">
      <c r="A17" s="5">
        <v>11</v>
      </c>
      <c r="B17" s="6">
        <v>45568</v>
      </c>
      <c r="C17" s="7">
        <v>83</v>
      </c>
      <c r="D17" s="8" t="s">
        <v>51</v>
      </c>
      <c r="E17" s="7">
        <v>3416606</v>
      </c>
      <c r="F17" s="9"/>
      <c r="G17" s="10">
        <f t="shared" si="1"/>
        <v>3416606</v>
      </c>
    </row>
    <row r="18" spans="1:7" x14ac:dyDescent="0.25">
      <c r="A18" s="5">
        <v>12</v>
      </c>
      <c r="B18" s="6">
        <v>45568</v>
      </c>
      <c r="C18" s="7">
        <v>84</v>
      </c>
      <c r="D18" s="8" t="s">
        <v>7</v>
      </c>
      <c r="E18" s="7">
        <v>926567</v>
      </c>
      <c r="F18" s="9"/>
      <c r="G18" s="10">
        <f t="shared" si="1"/>
        <v>926567</v>
      </c>
    </row>
    <row r="19" spans="1:7" x14ac:dyDescent="0.25">
      <c r="A19" s="5">
        <v>13</v>
      </c>
      <c r="B19" s="6">
        <v>45568</v>
      </c>
      <c r="C19" s="7">
        <v>85</v>
      </c>
      <c r="D19" s="8" t="s">
        <v>53</v>
      </c>
      <c r="E19" s="7">
        <v>198340</v>
      </c>
      <c r="F19" s="9"/>
      <c r="G19" s="10">
        <f t="shared" si="1"/>
        <v>198340</v>
      </c>
    </row>
    <row r="20" spans="1:7" x14ac:dyDescent="0.25">
      <c r="A20" s="5">
        <v>14</v>
      </c>
      <c r="B20" s="6">
        <v>45568</v>
      </c>
      <c r="C20" s="7">
        <v>86</v>
      </c>
      <c r="D20" s="8" t="s">
        <v>56</v>
      </c>
      <c r="E20" s="7">
        <v>164627</v>
      </c>
      <c r="F20" s="9"/>
      <c r="G20" s="10">
        <f t="shared" si="1"/>
        <v>164627</v>
      </c>
    </row>
    <row r="21" spans="1:7" x14ac:dyDescent="0.25">
      <c r="A21" s="5">
        <v>15</v>
      </c>
      <c r="B21" s="6">
        <v>45568</v>
      </c>
      <c r="C21" s="7">
        <v>87</v>
      </c>
      <c r="D21" s="8" t="s">
        <v>57</v>
      </c>
      <c r="E21" s="7">
        <v>298515</v>
      </c>
      <c r="F21" s="9"/>
      <c r="G21" s="10">
        <f t="shared" si="1"/>
        <v>298515</v>
      </c>
    </row>
    <row r="22" spans="1:7" x14ac:dyDescent="0.25">
      <c r="A22" s="5">
        <v>16</v>
      </c>
      <c r="B22" s="6">
        <v>45568</v>
      </c>
      <c r="C22" s="7">
        <v>88</v>
      </c>
      <c r="D22" s="8" t="s">
        <v>58</v>
      </c>
      <c r="E22" s="7">
        <v>237414</v>
      </c>
      <c r="F22" s="9"/>
      <c r="G22" s="10">
        <f t="shared" si="1"/>
        <v>237414</v>
      </c>
    </row>
    <row r="23" spans="1:7" x14ac:dyDescent="0.25">
      <c r="A23" s="5">
        <v>18</v>
      </c>
      <c r="B23" s="6">
        <v>45569</v>
      </c>
      <c r="C23" s="7">
        <v>89</v>
      </c>
      <c r="D23" s="7" t="s">
        <v>54</v>
      </c>
      <c r="E23" s="7">
        <v>3800016</v>
      </c>
      <c r="F23" s="9"/>
      <c r="G23" s="10">
        <f t="shared" si="1"/>
        <v>3800016</v>
      </c>
    </row>
    <row r="24" spans="1:7" x14ac:dyDescent="0.25">
      <c r="A24" s="5">
        <v>19</v>
      </c>
      <c r="B24" s="6">
        <v>45566</v>
      </c>
      <c r="C24" s="7">
        <v>90</v>
      </c>
      <c r="D24" s="8" t="s">
        <v>19</v>
      </c>
      <c r="E24" s="7">
        <v>4416608</v>
      </c>
      <c r="F24" s="9"/>
      <c r="G24" s="10">
        <f t="shared" si="1"/>
        <v>4416608</v>
      </c>
    </row>
    <row r="25" spans="1:7" x14ac:dyDescent="0.25">
      <c r="A25" s="5">
        <v>20</v>
      </c>
      <c r="B25" s="6"/>
      <c r="C25" s="7"/>
      <c r="D25" s="8"/>
      <c r="E25" s="7"/>
      <c r="F25" s="9"/>
      <c r="G25" s="10">
        <f t="shared" si="1"/>
        <v>0</v>
      </c>
    </row>
    <row r="26" spans="1:7" x14ac:dyDescent="0.25">
      <c r="A26" s="5">
        <v>21</v>
      </c>
      <c r="B26" s="6"/>
      <c r="C26" s="7"/>
      <c r="D26" s="8"/>
      <c r="E26" s="7"/>
      <c r="F26" s="9"/>
      <c r="G26" s="10">
        <f t="shared" si="1"/>
        <v>0</v>
      </c>
    </row>
    <row r="27" spans="1:7" x14ac:dyDescent="0.25">
      <c r="A27" s="5">
        <v>22</v>
      </c>
      <c r="B27" s="6"/>
      <c r="C27" s="7"/>
      <c r="D27" s="8"/>
      <c r="E27" s="7"/>
      <c r="F27" s="9"/>
      <c r="G27" s="10">
        <f t="shared" si="1"/>
        <v>0</v>
      </c>
    </row>
    <row r="28" spans="1:7" x14ac:dyDescent="0.25">
      <c r="A28" s="5">
        <v>23</v>
      </c>
      <c r="B28" s="6"/>
      <c r="C28" s="7"/>
      <c r="D28" s="8"/>
      <c r="E28" s="7"/>
      <c r="F28" s="9"/>
      <c r="G28" s="10">
        <f t="shared" si="1"/>
        <v>0</v>
      </c>
    </row>
    <row r="29" spans="1:7" x14ac:dyDescent="0.25">
      <c r="A29" s="5">
        <v>24</v>
      </c>
      <c r="B29" s="6"/>
      <c r="C29" s="7"/>
      <c r="D29" s="8"/>
      <c r="E29" s="7"/>
      <c r="F29" s="9"/>
      <c r="G29" s="10">
        <f t="shared" si="1"/>
        <v>0</v>
      </c>
    </row>
    <row r="30" spans="1:7" x14ac:dyDescent="0.25">
      <c r="A30" s="5">
        <v>25</v>
      </c>
      <c r="B30" s="6"/>
      <c r="C30" s="7"/>
      <c r="D30" s="8"/>
      <c r="E30" s="7"/>
      <c r="F30" s="9"/>
      <c r="G30" s="10">
        <f t="shared" si="1"/>
        <v>0</v>
      </c>
    </row>
    <row r="31" spans="1:7" x14ac:dyDescent="0.25">
      <c r="B31" s="28" t="s">
        <v>12</v>
      </c>
      <c r="C31" s="29"/>
      <c r="D31" s="3"/>
      <c r="E31" s="12">
        <f>SUM(E8:E30)</f>
        <v>56494874</v>
      </c>
      <c r="F31" s="13">
        <f>SUM(F8:F30)</f>
        <v>3507099</v>
      </c>
      <c r="G31" s="14">
        <f t="shared" si="1"/>
        <v>52987775</v>
      </c>
    </row>
    <row r="32" spans="1:7" x14ac:dyDescent="0.25">
      <c r="C32" s="15"/>
      <c r="E32" s="15"/>
    </row>
    <row r="33" spans="3:8" x14ac:dyDescent="0.25">
      <c r="C33" s="15"/>
      <c r="E33" s="15"/>
    </row>
    <row r="34" spans="3:8" x14ac:dyDescent="0.25">
      <c r="C34" s="15"/>
      <c r="H34" s="11"/>
    </row>
    <row r="35" spans="3:8" x14ac:dyDescent="0.25">
      <c r="C35" s="15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</sheetData>
  <mergeCells count="1">
    <mergeCell ref="B31:C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1BF-58F6-4E9B-9562-03A5B6D55BC6}">
  <dimension ref="A3:H56"/>
  <sheetViews>
    <sheetView topLeftCell="A4" workbookViewId="0">
      <selection activeCell="H23" sqref="H23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45587</v>
      </c>
      <c r="C7" s="7">
        <v>91</v>
      </c>
      <c r="D7" s="8" t="s">
        <v>9</v>
      </c>
      <c r="E7" s="7">
        <v>2162314</v>
      </c>
      <c r="F7" s="9"/>
      <c r="G7" s="10">
        <f t="shared" ref="G7" si="0">+E7-F7</f>
        <v>2162314</v>
      </c>
    </row>
    <row r="8" spans="1:7" x14ac:dyDescent="0.25">
      <c r="A8" s="5">
        <v>2</v>
      </c>
      <c r="B8" s="6">
        <v>45589</v>
      </c>
      <c r="C8" s="7">
        <v>92</v>
      </c>
      <c r="D8" s="8" t="s">
        <v>32</v>
      </c>
      <c r="E8" s="7">
        <v>10507039</v>
      </c>
      <c r="F8" s="9"/>
      <c r="G8" s="10">
        <f>+E8-F8</f>
        <v>10507039</v>
      </c>
    </row>
    <row r="9" spans="1:7" x14ac:dyDescent="0.25">
      <c r="A9" s="5">
        <v>3</v>
      </c>
      <c r="B9" s="6">
        <v>45589</v>
      </c>
      <c r="C9" s="7">
        <v>93</v>
      </c>
      <c r="D9" s="8" t="s">
        <v>32</v>
      </c>
      <c r="E9" s="7">
        <v>1954951</v>
      </c>
      <c r="F9" s="9"/>
      <c r="G9" s="10">
        <f t="shared" ref="G9:G31" si="1">+E9-F9</f>
        <v>1954951</v>
      </c>
    </row>
    <row r="10" spans="1:7" x14ac:dyDescent="0.25">
      <c r="A10" s="5">
        <v>4</v>
      </c>
      <c r="B10" s="6">
        <v>45593</v>
      </c>
      <c r="C10" s="7">
        <v>94</v>
      </c>
      <c r="D10" s="8" t="s">
        <v>55</v>
      </c>
      <c r="E10" s="7">
        <v>3337749</v>
      </c>
      <c r="F10" s="9"/>
      <c r="G10" s="10">
        <f t="shared" si="1"/>
        <v>3337749</v>
      </c>
    </row>
    <row r="11" spans="1:7" x14ac:dyDescent="0.25">
      <c r="A11" s="5">
        <v>5</v>
      </c>
      <c r="B11" s="6">
        <v>45600</v>
      </c>
      <c r="C11" s="7">
        <v>95</v>
      </c>
      <c r="D11" s="8" t="s">
        <v>7</v>
      </c>
      <c r="E11" s="7">
        <v>277223</v>
      </c>
      <c r="F11" s="9"/>
      <c r="G11" s="10">
        <f t="shared" si="1"/>
        <v>277223</v>
      </c>
    </row>
    <row r="12" spans="1:7" x14ac:dyDescent="0.25">
      <c r="A12" s="5">
        <v>6</v>
      </c>
      <c r="B12" s="6">
        <v>45600</v>
      </c>
      <c r="C12" s="7">
        <v>96</v>
      </c>
      <c r="D12" s="8" t="s">
        <v>19</v>
      </c>
      <c r="E12" s="7">
        <v>3978205</v>
      </c>
      <c r="F12" s="9"/>
      <c r="G12" s="10">
        <f t="shared" si="1"/>
        <v>3978205</v>
      </c>
    </row>
    <row r="13" spans="1:7" x14ac:dyDescent="0.25">
      <c r="A13" s="5">
        <v>7</v>
      </c>
      <c r="B13" s="6">
        <v>45598</v>
      </c>
      <c r="C13" s="7">
        <v>97</v>
      </c>
      <c r="D13" s="8" t="s">
        <v>59</v>
      </c>
      <c r="E13" s="7">
        <v>1500004</v>
      </c>
      <c r="F13" s="9"/>
      <c r="G13" s="10">
        <f t="shared" si="1"/>
        <v>1500004</v>
      </c>
    </row>
    <row r="14" spans="1:7" x14ac:dyDescent="0.25">
      <c r="A14" s="5">
        <v>8</v>
      </c>
      <c r="B14" s="6">
        <v>45598</v>
      </c>
      <c r="C14" s="7">
        <v>98</v>
      </c>
      <c r="D14" s="8" t="s">
        <v>56</v>
      </c>
      <c r="E14" s="7">
        <v>164627</v>
      </c>
      <c r="F14" s="9"/>
      <c r="G14" s="10">
        <f t="shared" si="1"/>
        <v>164627</v>
      </c>
    </row>
    <row r="15" spans="1:7" x14ac:dyDescent="0.25">
      <c r="A15" s="5">
        <v>9</v>
      </c>
      <c r="B15" s="6">
        <v>45598</v>
      </c>
      <c r="C15" s="7">
        <v>99</v>
      </c>
      <c r="D15" s="8" t="s">
        <v>51</v>
      </c>
      <c r="E15" s="7">
        <v>1468124</v>
      </c>
      <c r="F15" s="9"/>
      <c r="G15" s="10">
        <f t="shared" si="1"/>
        <v>1468124</v>
      </c>
    </row>
    <row r="16" spans="1:7" x14ac:dyDescent="0.25">
      <c r="A16" s="5">
        <v>10</v>
      </c>
      <c r="B16" s="6">
        <v>45598</v>
      </c>
      <c r="C16" s="7">
        <v>100</v>
      </c>
      <c r="D16" s="8" t="s">
        <v>25</v>
      </c>
      <c r="E16" s="7">
        <v>348469</v>
      </c>
      <c r="F16" s="9"/>
      <c r="G16" s="10">
        <f t="shared" si="1"/>
        <v>348469</v>
      </c>
    </row>
    <row r="17" spans="1:7" x14ac:dyDescent="0.25">
      <c r="A17" s="5">
        <v>11</v>
      </c>
      <c r="B17" s="6">
        <v>45598</v>
      </c>
      <c r="C17" s="7">
        <v>102</v>
      </c>
      <c r="D17" s="8" t="s">
        <v>53</v>
      </c>
      <c r="E17" s="7">
        <v>209373</v>
      </c>
      <c r="F17" s="9"/>
      <c r="G17" s="10">
        <f t="shared" si="1"/>
        <v>209373</v>
      </c>
    </row>
    <row r="18" spans="1:7" x14ac:dyDescent="0.25">
      <c r="A18" s="5">
        <v>12</v>
      </c>
      <c r="B18" s="6">
        <v>45598</v>
      </c>
      <c r="C18" s="7">
        <v>103</v>
      </c>
      <c r="D18" s="8" t="s">
        <v>58</v>
      </c>
      <c r="E18" s="7">
        <v>237414</v>
      </c>
      <c r="F18" s="9"/>
      <c r="G18" s="10">
        <f t="shared" si="1"/>
        <v>237414</v>
      </c>
    </row>
    <row r="19" spans="1:7" x14ac:dyDescent="0.25">
      <c r="A19" s="5">
        <v>13</v>
      </c>
      <c r="B19" s="6">
        <v>45598</v>
      </c>
      <c r="C19" s="7">
        <v>104</v>
      </c>
      <c r="D19" s="8" t="s">
        <v>54</v>
      </c>
      <c r="E19" s="7">
        <v>3799400</v>
      </c>
      <c r="F19" s="9"/>
      <c r="G19" s="10">
        <f t="shared" si="1"/>
        <v>3799400</v>
      </c>
    </row>
    <row r="20" spans="1:7" x14ac:dyDescent="0.25">
      <c r="A20" s="5">
        <v>14</v>
      </c>
      <c r="B20" s="6">
        <v>45598</v>
      </c>
      <c r="C20" s="7">
        <v>105</v>
      </c>
      <c r="D20" s="8" t="s">
        <v>57</v>
      </c>
      <c r="E20" s="7">
        <v>298515</v>
      </c>
      <c r="F20" s="9"/>
      <c r="G20" s="10">
        <f t="shared" si="1"/>
        <v>298515</v>
      </c>
    </row>
    <row r="21" spans="1:7" x14ac:dyDescent="0.25">
      <c r="A21" s="5">
        <v>15</v>
      </c>
      <c r="B21" s="6">
        <v>45598</v>
      </c>
      <c r="C21" s="7">
        <v>106</v>
      </c>
      <c r="D21" s="8" t="s">
        <v>60</v>
      </c>
      <c r="E21" s="7">
        <v>386523</v>
      </c>
      <c r="F21" s="9"/>
      <c r="G21" s="10">
        <f t="shared" si="1"/>
        <v>386523</v>
      </c>
    </row>
    <row r="22" spans="1:7" x14ac:dyDescent="0.25">
      <c r="A22" s="5">
        <v>16</v>
      </c>
      <c r="B22" s="6">
        <v>45598</v>
      </c>
      <c r="C22" s="7">
        <v>107</v>
      </c>
      <c r="D22" s="8" t="s">
        <v>60</v>
      </c>
      <c r="E22" s="7">
        <v>1304366</v>
      </c>
      <c r="F22" s="9"/>
      <c r="G22" s="10">
        <f t="shared" si="1"/>
        <v>1304366</v>
      </c>
    </row>
    <row r="23" spans="1:7" x14ac:dyDescent="0.25">
      <c r="A23" s="5">
        <v>18</v>
      </c>
      <c r="B23" s="6">
        <v>45598</v>
      </c>
      <c r="C23" s="7">
        <v>108</v>
      </c>
      <c r="D23" s="7" t="s">
        <v>60</v>
      </c>
      <c r="E23" s="7">
        <v>24358924</v>
      </c>
      <c r="F23" s="9"/>
      <c r="G23" s="10">
        <f t="shared" si="1"/>
        <v>24358924</v>
      </c>
    </row>
    <row r="24" spans="1:7" x14ac:dyDescent="0.25">
      <c r="A24" s="5">
        <v>19</v>
      </c>
      <c r="B24" s="6">
        <v>45607</v>
      </c>
      <c r="C24" s="7">
        <v>109</v>
      </c>
      <c r="D24" s="8" t="s">
        <v>60</v>
      </c>
      <c r="E24" s="7">
        <v>1159080</v>
      </c>
      <c r="F24" s="9"/>
      <c r="G24" s="10">
        <f t="shared" si="1"/>
        <v>1159080</v>
      </c>
    </row>
    <row r="25" spans="1:7" x14ac:dyDescent="0.25">
      <c r="A25" s="5">
        <v>20</v>
      </c>
      <c r="B25" s="6">
        <v>45614</v>
      </c>
      <c r="C25" s="7">
        <v>113</v>
      </c>
      <c r="D25" s="8" t="s">
        <v>25</v>
      </c>
      <c r="E25" s="7">
        <v>396235</v>
      </c>
      <c r="F25" s="9"/>
      <c r="G25" s="10">
        <f t="shared" si="1"/>
        <v>396235</v>
      </c>
    </row>
    <row r="26" spans="1:7" x14ac:dyDescent="0.25">
      <c r="A26" s="5">
        <v>21</v>
      </c>
      <c r="B26" s="6"/>
      <c r="C26" s="7"/>
      <c r="D26" s="8"/>
      <c r="E26" s="7"/>
      <c r="F26" s="9"/>
      <c r="G26" s="10">
        <f t="shared" si="1"/>
        <v>0</v>
      </c>
    </row>
    <row r="27" spans="1:7" x14ac:dyDescent="0.25">
      <c r="A27" s="5">
        <v>22</v>
      </c>
      <c r="B27" s="6"/>
      <c r="C27" s="7"/>
      <c r="D27" s="8"/>
      <c r="E27" s="7"/>
      <c r="F27" s="9"/>
      <c r="G27" s="10">
        <f t="shared" si="1"/>
        <v>0</v>
      </c>
    </row>
    <row r="28" spans="1:7" x14ac:dyDescent="0.25">
      <c r="A28" s="5">
        <v>23</v>
      </c>
      <c r="B28" s="6"/>
      <c r="C28" s="7"/>
      <c r="D28" s="8"/>
      <c r="E28" s="7"/>
      <c r="F28" s="9"/>
      <c r="G28" s="10">
        <f t="shared" si="1"/>
        <v>0</v>
      </c>
    </row>
    <row r="29" spans="1:7" x14ac:dyDescent="0.25">
      <c r="A29" s="5">
        <v>24</v>
      </c>
      <c r="B29" s="6"/>
      <c r="C29" s="7"/>
      <c r="D29" s="8"/>
      <c r="E29" s="7"/>
      <c r="F29" s="9"/>
      <c r="G29" s="10">
        <f t="shared" si="1"/>
        <v>0</v>
      </c>
    </row>
    <row r="30" spans="1:7" x14ac:dyDescent="0.25">
      <c r="A30" s="5">
        <v>25</v>
      </c>
      <c r="B30" s="6"/>
      <c r="C30" s="7"/>
      <c r="D30" s="8"/>
      <c r="E30" s="7"/>
      <c r="F30" s="9"/>
      <c r="G30" s="10">
        <f t="shared" si="1"/>
        <v>0</v>
      </c>
    </row>
    <row r="31" spans="1:7" x14ac:dyDescent="0.25">
      <c r="B31" s="28" t="s">
        <v>12</v>
      </c>
      <c r="C31" s="29"/>
      <c r="D31" s="3"/>
      <c r="E31" s="12">
        <f>SUM(E8:E30)</f>
        <v>55686221</v>
      </c>
      <c r="F31" s="13">
        <f>SUM(F8:F30)</f>
        <v>0</v>
      </c>
      <c r="G31" s="14">
        <f t="shared" si="1"/>
        <v>55686221</v>
      </c>
    </row>
    <row r="32" spans="1:7" x14ac:dyDescent="0.25">
      <c r="C32" s="15"/>
      <c r="E32" s="15"/>
    </row>
    <row r="33" spans="3:8" x14ac:dyDescent="0.25">
      <c r="C33" s="15"/>
      <c r="E33" s="15"/>
    </row>
    <row r="34" spans="3:8" x14ac:dyDescent="0.25">
      <c r="C34" s="15"/>
      <c r="H34" s="11"/>
    </row>
    <row r="35" spans="3:8" x14ac:dyDescent="0.25">
      <c r="C35" s="15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</sheetData>
  <mergeCells count="1">
    <mergeCell ref="B31:C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C40A-39D9-4B6D-AB72-B717F1D837BD}">
  <dimension ref="A3:H57"/>
  <sheetViews>
    <sheetView topLeftCell="A4" workbookViewId="0">
      <selection activeCell="H25" sqref="H25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45615</v>
      </c>
      <c r="C7" s="7">
        <v>114</v>
      </c>
      <c r="D7" s="8" t="s">
        <v>60</v>
      </c>
      <c r="E7" s="7">
        <v>573063</v>
      </c>
      <c r="F7" s="9"/>
      <c r="G7" s="10">
        <f t="shared" ref="G7:G10" si="0">+E7-F7</f>
        <v>573063</v>
      </c>
    </row>
    <row r="8" spans="1:7" x14ac:dyDescent="0.25">
      <c r="A8" s="5">
        <v>2</v>
      </c>
      <c r="B8" s="6">
        <v>45621</v>
      </c>
      <c r="C8" s="7">
        <v>115</v>
      </c>
      <c r="D8" s="8" t="s">
        <v>32</v>
      </c>
      <c r="E8" s="7">
        <v>4405876</v>
      </c>
      <c r="F8" s="9"/>
      <c r="G8" s="10">
        <f t="shared" si="0"/>
        <v>4405876</v>
      </c>
    </row>
    <row r="9" spans="1:7" x14ac:dyDescent="0.25">
      <c r="A9" s="5">
        <v>3</v>
      </c>
      <c r="B9" s="6">
        <v>45623</v>
      </c>
      <c r="C9" s="7">
        <v>116</v>
      </c>
      <c r="D9" s="8" t="s">
        <v>55</v>
      </c>
      <c r="E9" s="7">
        <v>3326891</v>
      </c>
      <c r="F9" s="9"/>
      <c r="G9" s="10">
        <f t="shared" si="0"/>
        <v>3326891</v>
      </c>
    </row>
    <row r="10" spans="1:7" x14ac:dyDescent="0.25">
      <c r="A10" s="5"/>
      <c r="B10" s="6">
        <v>45623</v>
      </c>
      <c r="C10" s="7">
        <v>117</v>
      </c>
      <c r="D10" s="8" t="s">
        <v>9</v>
      </c>
      <c r="E10" s="7">
        <v>2222989</v>
      </c>
      <c r="F10" s="9"/>
      <c r="G10" s="10">
        <f t="shared" si="0"/>
        <v>2222989</v>
      </c>
    </row>
    <row r="11" spans="1:7" x14ac:dyDescent="0.25">
      <c r="A11" s="5">
        <v>4</v>
      </c>
      <c r="B11" s="6">
        <v>45624</v>
      </c>
      <c r="C11" s="7">
        <v>118</v>
      </c>
      <c r="D11" s="8" t="s">
        <v>59</v>
      </c>
      <c r="E11" s="7">
        <v>1500000</v>
      </c>
      <c r="F11" s="9"/>
      <c r="G11" s="10">
        <f t="shared" ref="G11:G32" si="1">+E11-F11</f>
        <v>1500000</v>
      </c>
    </row>
    <row r="12" spans="1:7" x14ac:dyDescent="0.25">
      <c r="A12" s="5">
        <v>5</v>
      </c>
      <c r="B12" s="6">
        <v>45628</v>
      </c>
      <c r="C12" s="7">
        <v>119</v>
      </c>
      <c r="D12" s="8" t="s">
        <v>56</v>
      </c>
      <c r="E12" s="7">
        <v>164627</v>
      </c>
      <c r="F12" s="9"/>
      <c r="G12" s="10">
        <f t="shared" si="1"/>
        <v>164627</v>
      </c>
    </row>
    <row r="13" spans="1:7" x14ac:dyDescent="0.25">
      <c r="A13" s="5">
        <v>6</v>
      </c>
      <c r="B13" s="6">
        <v>45628</v>
      </c>
      <c r="C13" s="7">
        <v>120</v>
      </c>
      <c r="D13" s="8" t="s">
        <v>19</v>
      </c>
      <c r="E13" s="7">
        <v>4237754</v>
      </c>
      <c r="F13" s="9"/>
      <c r="G13" s="10">
        <f t="shared" si="1"/>
        <v>4237754</v>
      </c>
    </row>
    <row r="14" spans="1:7" x14ac:dyDescent="0.25">
      <c r="A14" s="5">
        <v>7</v>
      </c>
      <c r="B14" s="6">
        <v>45628</v>
      </c>
      <c r="C14" s="7">
        <v>121</v>
      </c>
      <c r="D14" s="8" t="s">
        <v>51</v>
      </c>
      <c r="E14" s="7">
        <v>1468124</v>
      </c>
      <c r="F14" s="9"/>
      <c r="G14" s="10">
        <f t="shared" si="1"/>
        <v>1468124</v>
      </c>
    </row>
    <row r="15" spans="1:7" x14ac:dyDescent="0.25">
      <c r="A15" s="5">
        <v>8</v>
      </c>
      <c r="B15" s="6">
        <v>45628</v>
      </c>
      <c r="C15" s="7">
        <v>122</v>
      </c>
      <c r="D15" s="8" t="s">
        <v>60</v>
      </c>
      <c r="E15" s="7">
        <v>20685977</v>
      </c>
      <c r="F15" s="9"/>
      <c r="G15" s="10">
        <f t="shared" si="1"/>
        <v>20685977</v>
      </c>
    </row>
    <row r="16" spans="1:7" x14ac:dyDescent="0.25">
      <c r="A16" s="5">
        <v>9</v>
      </c>
      <c r="B16" s="6">
        <v>45628</v>
      </c>
      <c r="C16" s="7">
        <v>123</v>
      </c>
      <c r="D16" s="8" t="s">
        <v>60</v>
      </c>
      <c r="E16" s="7">
        <v>457664</v>
      </c>
      <c r="F16" s="9"/>
      <c r="G16" s="10">
        <f t="shared" si="1"/>
        <v>457664</v>
      </c>
    </row>
    <row r="17" spans="1:7" x14ac:dyDescent="0.25">
      <c r="A17" s="5">
        <v>10</v>
      </c>
      <c r="B17" s="6">
        <v>45628</v>
      </c>
      <c r="C17" s="7">
        <v>124</v>
      </c>
      <c r="D17" s="8" t="s">
        <v>60</v>
      </c>
      <c r="E17" s="7">
        <v>371421</v>
      </c>
      <c r="F17" s="9"/>
      <c r="G17" s="10">
        <f t="shared" si="1"/>
        <v>371421</v>
      </c>
    </row>
    <row r="18" spans="1:7" x14ac:dyDescent="0.25">
      <c r="A18" s="5">
        <v>11</v>
      </c>
      <c r="B18" s="6">
        <v>45635</v>
      </c>
      <c r="C18" s="7">
        <v>125</v>
      </c>
      <c r="D18" s="8" t="s">
        <v>62</v>
      </c>
      <c r="E18" s="7">
        <v>209373</v>
      </c>
      <c r="F18" s="9"/>
      <c r="G18" s="10">
        <f t="shared" si="1"/>
        <v>209373</v>
      </c>
    </row>
    <row r="19" spans="1:7" x14ac:dyDescent="0.25">
      <c r="A19" s="5">
        <v>12</v>
      </c>
      <c r="B19" s="6">
        <v>45635</v>
      </c>
      <c r="C19" s="7">
        <v>126</v>
      </c>
      <c r="D19" s="8" t="s">
        <v>57</v>
      </c>
      <c r="E19" s="7">
        <v>298515</v>
      </c>
      <c r="F19" s="9"/>
      <c r="G19" s="10">
        <f t="shared" si="1"/>
        <v>298515</v>
      </c>
    </row>
    <row r="20" spans="1:7" x14ac:dyDescent="0.25">
      <c r="A20" s="5">
        <v>13</v>
      </c>
      <c r="B20" s="6">
        <v>45635</v>
      </c>
      <c r="C20" s="7">
        <v>127</v>
      </c>
      <c r="D20" s="8" t="s">
        <v>42</v>
      </c>
      <c r="E20" s="7">
        <v>237414</v>
      </c>
      <c r="F20" s="9"/>
      <c r="G20" s="10">
        <f t="shared" si="1"/>
        <v>237414</v>
      </c>
    </row>
    <row r="21" spans="1:7" x14ac:dyDescent="0.25">
      <c r="A21" s="5">
        <v>14</v>
      </c>
      <c r="B21" s="6">
        <v>45635</v>
      </c>
      <c r="C21" s="7">
        <v>128</v>
      </c>
      <c r="D21" s="8" t="s">
        <v>54</v>
      </c>
      <c r="E21" s="7">
        <v>3799400</v>
      </c>
      <c r="F21" s="9"/>
      <c r="G21" s="10">
        <f t="shared" si="1"/>
        <v>3799400</v>
      </c>
    </row>
    <row r="22" spans="1:7" x14ac:dyDescent="0.25">
      <c r="A22" s="5">
        <v>15</v>
      </c>
      <c r="B22" s="6"/>
      <c r="C22" s="7"/>
      <c r="D22" s="8"/>
      <c r="E22" s="7"/>
      <c r="F22" s="9"/>
      <c r="G22" s="10"/>
    </row>
    <row r="23" spans="1:7" x14ac:dyDescent="0.25">
      <c r="A23" s="5">
        <v>16</v>
      </c>
      <c r="B23" s="6"/>
      <c r="C23" s="7"/>
      <c r="D23" s="8"/>
      <c r="E23" s="7"/>
      <c r="F23" s="9"/>
      <c r="G23" s="10">
        <f t="shared" si="1"/>
        <v>0</v>
      </c>
    </row>
    <row r="24" spans="1:7" x14ac:dyDescent="0.25">
      <c r="A24" s="5">
        <v>18</v>
      </c>
      <c r="B24" s="6"/>
      <c r="C24" s="7"/>
      <c r="D24" s="7"/>
      <c r="E24" s="7"/>
      <c r="F24" s="9"/>
      <c r="G24" s="10">
        <f t="shared" si="1"/>
        <v>0</v>
      </c>
    </row>
    <row r="25" spans="1:7" x14ac:dyDescent="0.25">
      <c r="A25" s="5">
        <v>19</v>
      </c>
      <c r="B25" s="6"/>
      <c r="C25" s="7"/>
      <c r="D25" s="8"/>
      <c r="E25" s="7"/>
      <c r="F25" s="9"/>
      <c r="G25" s="10">
        <f t="shared" si="1"/>
        <v>0</v>
      </c>
    </row>
    <row r="26" spans="1:7" x14ac:dyDescent="0.25">
      <c r="A26" s="5">
        <v>20</v>
      </c>
      <c r="B26" s="6"/>
      <c r="C26" s="7"/>
      <c r="D26" s="8"/>
      <c r="E26" s="7"/>
      <c r="F26" s="9"/>
      <c r="G26" s="10">
        <f t="shared" si="1"/>
        <v>0</v>
      </c>
    </row>
    <row r="27" spans="1:7" x14ac:dyDescent="0.25">
      <c r="A27" s="5">
        <v>21</v>
      </c>
      <c r="B27" s="6"/>
      <c r="C27" s="7"/>
      <c r="D27" s="8"/>
      <c r="E27" s="7"/>
      <c r="F27" s="9"/>
      <c r="G27" s="10">
        <f t="shared" si="1"/>
        <v>0</v>
      </c>
    </row>
    <row r="28" spans="1:7" x14ac:dyDescent="0.25">
      <c r="A28" s="5">
        <v>22</v>
      </c>
      <c r="B28" s="6"/>
      <c r="C28" s="7"/>
      <c r="D28" s="8"/>
      <c r="E28" s="7"/>
      <c r="F28" s="9"/>
      <c r="G28" s="10">
        <f t="shared" si="1"/>
        <v>0</v>
      </c>
    </row>
    <row r="29" spans="1:7" x14ac:dyDescent="0.25">
      <c r="A29" s="5">
        <v>23</v>
      </c>
      <c r="B29" s="6"/>
      <c r="C29" s="7"/>
      <c r="D29" s="8"/>
      <c r="E29" s="7"/>
      <c r="F29" s="9"/>
      <c r="G29" s="10">
        <f t="shared" si="1"/>
        <v>0</v>
      </c>
    </row>
    <row r="30" spans="1:7" x14ac:dyDescent="0.25">
      <c r="A30" s="5">
        <v>24</v>
      </c>
      <c r="B30" s="6"/>
      <c r="C30" s="7"/>
      <c r="D30" s="8"/>
      <c r="E30" s="7"/>
      <c r="F30" s="9"/>
      <c r="G30" s="10">
        <f t="shared" si="1"/>
        <v>0</v>
      </c>
    </row>
    <row r="31" spans="1:7" x14ac:dyDescent="0.25">
      <c r="A31" s="5">
        <v>25</v>
      </c>
      <c r="B31" s="6"/>
      <c r="C31" s="7"/>
      <c r="D31" s="8"/>
      <c r="E31" s="7"/>
      <c r="F31" s="9"/>
      <c r="G31" s="10">
        <f t="shared" si="1"/>
        <v>0</v>
      </c>
    </row>
    <row r="32" spans="1:7" x14ac:dyDescent="0.25">
      <c r="B32" s="28" t="s">
        <v>12</v>
      </c>
      <c r="C32" s="29"/>
      <c r="D32" s="3"/>
      <c r="E32" s="12">
        <f>SUM(E7:E31)</f>
        <v>43959088</v>
      </c>
      <c r="F32" s="13">
        <f>SUM(F8:F31)</f>
        <v>0</v>
      </c>
      <c r="G32" s="14">
        <f t="shared" si="1"/>
        <v>43959088</v>
      </c>
    </row>
    <row r="33" spans="3:8" x14ac:dyDescent="0.25">
      <c r="C33" s="15"/>
      <c r="E33" s="15"/>
      <c r="G33" s="11"/>
    </row>
    <row r="34" spans="3:8" x14ac:dyDescent="0.25">
      <c r="C34" s="15"/>
      <c r="E34" s="15"/>
    </row>
    <row r="35" spans="3:8" x14ac:dyDescent="0.25">
      <c r="C35" s="15"/>
      <c r="H35" s="11"/>
    </row>
    <row r="36" spans="3:8" x14ac:dyDescent="0.25">
      <c r="C36" s="15"/>
    </row>
    <row r="37" spans="3:8" x14ac:dyDescent="0.25">
      <c r="C37" s="15"/>
    </row>
    <row r="38" spans="3:8" x14ac:dyDescent="0.25">
      <c r="C38" s="15"/>
    </row>
    <row r="39" spans="3:8" x14ac:dyDescent="0.25">
      <c r="C39" s="15"/>
    </row>
    <row r="40" spans="3:8" x14ac:dyDescent="0.25">
      <c r="C40" s="15"/>
    </row>
    <row r="41" spans="3:8" x14ac:dyDescent="0.25">
      <c r="C41" s="15"/>
    </row>
    <row r="42" spans="3:8" x14ac:dyDescent="0.25">
      <c r="C42" s="15"/>
    </row>
    <row r="43" spans="3:8" x14ac:dyDescent="0.25">
      <c r="C43" s="15"/>
    </row>
    <row r="44" spans="3:8" x14ac:dyDescent="0.25">
      <c r="C44" s="15"/>
    </row>
    <row r="45" spans="3:8" x14ac:dyDescent="0.25">
      <c r="C45" s="15"/>
    </row>
    <row r="46" spans="3:8" x14ac:dyDescent="0.25">
      <c r="C46" s="15"/>
    </row>
    <row r="47" spans="3:8" x14ac:dyDescent="0.25">
      <c r="C47" s="15"/>
    </row>
    <row r="48" spans="3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  <row r="57" spans="3:3" x14ac:dyDescent="0.25">
      <c r="C57" s="15"/>
    </row>
  </sheetData>
  <mergeCells count="1">
    <mergeCell ref="B32:C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A102-2932-4584-811E-731E4648BE37}">
  <dimension ref="A3:H58"/>
  <sheetViews>
    <sheetView workbookViewId="0">
      <selection activeCell="J8" sqref="J8"/>
    </sheetView>
  </sheetViews>
  <sheetFormatPr baseColWidth="10" defaultRowHeight="15" x14ac:dyDescent="0.25"/>
  <cols>
    <col min="1" max="1" width="11.5703125" customWidth="1"/>
    <col min="2" max="3" width="15.7109375" customWidth="1"/>
    <col min="4" max="4" width="41.85546875" customWidth="1"/>
    <col min="5" max="5" width="22.5703125" customWidth="1"/>
    <col min="6" max="6" width="14.7109375" customWidth="1"/>
    <col min="7" max="7" width="17" customWidth="1"/>
    <col min="8" max="8" width="16.28515625" bestFit="1" customWidth="1"/>
  </cols>
  <sheetData>
    <row r="3" spans="1:7" ht="18.75" x14ac:dyDescent="0.3">
      <c r="D3" s="1" t="s">
        <v>13</v>
      </c>
    </row>
    <row r="6" spans="1:7" s="19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1:7" x14ac:dyDescent="0.25">
      <c r="A7" s="5">
        <v>1</v>
      </c>
      <c r="B7" s="6">
        <v>45659</v>
      </c>
      <c r="C7" s="7">
        <v>129</v>
      </c>
      <c r="D7" s="8" t="s">
        <v>9</v>
      </c>
      <c r="E7" s="7">
        <v>2669940</v>
      </c>
      <c r="F7" s="9"/>
      <c r="G7" s="10">
        <f t="shared" ref="G7" si="0">+E7-F7</f>
        <v>2669940</v>
      </c>
    </row>
    <row r="8" spans="1:7" x14ac:dyDescent="0.25">
      <c r="A8" s="5">
        <v>2</v>
      </c>
      <c r="B8" s="6">
        <v>45659</v>
      </c>
      <c r="C8" s="7">
        <v>130</v>
      </c>
      <c r="D8" s="8" t="s">
        <v>60</v>
      </c>
      <c r="E8" s="7">
        <v>1253728</v>
      </c>
      <c r="F8" s="9"/>
      <c r="G8" s="10">
        <f>+E8-I9</f>
        <v>1253728</v>
      </c>
    </row>
    <row r="9" spans="1:7" x14ac:dyDescent="0.25">
      <c r="A9" s="5">
        <v>2</v>
      </c>
      <c r="B9" s="6">
        <v>45659</v>
      </c>
      <c r="C9" s="7">
        <v>133</v>
      </c>
      <c r="D9" s="8" t="s">
        <v>57</v>
      </c>
      <c r="E9" s="7">
        <v>236755</v>
      </c>
      <c r="F9" s="9"/>
      <c r="G9" s="10">
        <f>+E9-F9</f>
        <v>236755</v>
      </c>
    </row>
    <row r="10" spans="1:7" x14ac:dyDescent="0.25">
      <c r="A10" s="5">
        <v>3</v>
      </c>
      <c r="B10" s="6">
        <v>45659</v>
      </c>
      <c r="C10" s="7">
        <v>134</v>
      </c>
      <c r="D10" s="8" t="s">
        <v>54</v>
      </c>
      <c r="E10" s="7">
        <v>3799400</v>
      </c>
      <c r="F10" s="9"/>
      <c r="G10" s="10">
        <f t="shared" ref="G10:G33" si="1">+E10-F10</f>
        <v>3799400</v>
      </c>
    </row>
    <row r="11" spans="1:7" x14ac:dyDescent="0.25">
      <c r="A11" s="5">
        <v>4</v>
      </c>
      <c r="B11" s="6">
        <v>45659</v>
      </c>
      <c r="C11" s="7">
        <v>135</v>
      </c>
      <c r="D11" s="8" t="s">
        <v>42</v>
      </c>
      <c r="E11" s="7">
        <v>237414</v>
      </c>
      <c r="F11" s="9"/>
      <c r="G11" s="10">
        <f t="shared" si="1"/>
        <v>237414</v>
      </c>
    </row>
    <row r="12" spans="1:7" x14ac:dyDescent="0.25">
      <c r="A12" s="5">
        <v>5</v>
      </c>
      <c r="B12" s="6">
        <v>45656</v>
      </c>
      <c r="C12" s="7">
        <v>136</v>
      </c>
      <c r="D12" s="8" t="s">
        <v>60</v>
      </c>
      <c r="E12" s="7">
        <v>16241559</v>
      </c>
      <c r="F12" s="9"/>
      <c r="G12" s="10">
        <f t="shared" si="1"/>
        <v>16241559</v>
      </c>
    </row>
    <row r="13" spans="1:7" x14ac:dyDescent="0.25">
      <c r="A13" s="5">
        <v>5</v>
      </c>
      <c r="B13" s="6">
        <v>45663</v>
      </c>
      <c r="C13" s="7">
        <v>137</v>
      </c>
      <c r="D13" s="8" t="s">
        <v>41</v>
      </c>
      <c r="E13" s="7">
        <v>170754</v>
      </c>
      <c r="F13" s="9"/>
      <c r="G13" s="10">
        <f t="shared" si="1"/>
        <v>170754</v>
      </c>
    </row>
    <row r="14" spans="1:7" x14ac:dyDescent="0.25">
      <c r="A14" s="5">
        <v>6</v>
      </c>
      <c r="B14" s="6">
        <v>45663</v>
      </c>
      <c r="C14" s="7">
        <v>138</v>
      </c>
      <c r="D14" s="8" t="s">
        <v>63</v>
      </c>
      <c r="E14" s="7">
        <v>149221</v>
      </c>
      <c r="F14" s="9"/>
      <c r="G14" s="10">
        <f t="shared" si="1"/>
        <v>149221</v>
      </c>
    </row>
    <row r="15" spans="1:7" x14ac:dyDescent="0.25">
      <c r="A15" s="5">
        <v>7</v>
      </c>
      <c r="B15" s="6">
        <v>45663</v>
      </c>
      <c r="C15" s="7">
        <v>140</v>
      </c>
      <c r="D15" s="8" t="s">
        <v>60</v>
      </c>
      <c r="E15" s="7">
        <v>5632000</v>
      </c>
      <c r="F15" s="9"/>
      <c r="G15" s="10">
        <f t="shared" si="1"/>
        <v>5632000</v>
      </c>
    </row>
    <row r="16" spans="1:7" x14ac:dyDescent="0.25">
      <c r="A16" s="5">
        <v>8</v>
      </c>
      <c r="B16" s="6">
        <v>45663</v>
      </c>
      <c r="C16" s="7">
        <v>142</v>
      </c>
      <c r="D16" s="8" t="s">
        <v>19</v>
      </c>
      <c r="E16" s="7">
        <v>3176142</v>
      </c>
      <c r="F16" s="9"/>
      <c r="G16" s="10">
        <f t="shared" si="1"/>
        <v>3176142</v>
      </c>
    </row>
    <row r="17" spans="1:7" x14ac:dyDescent="0.25">
      <c r="A17" s="5">
        <v>9</v>
      </c>
      <c r="B17" s="6">
        <v>45663</v>
      </c>
      <c r="C17" s="7">
        <v>141</v>
      </c>
      <c r="D17" s="8" t="s">
        <v>64</v>
      </c>
      <c r="E17" s="7">
        <v>1500004</v>
      </c>
      <c r="F17" s="9"/>
      <c r="G17" s="10">
        <f t="shared" si="1"/>
        <v>1500004</v>
      </c>
    </row>
    <row r="18" spans="1:7" x14ac:dyDescent="0.25">
      <c r="A18" s="5">
        <v>10</v>
      </c>
      <c r="B18" s="6"/>
      <c r="C18" s="7"/>
      <c r="D18" s="8"/>
      <c r="E18" s="7"/>
      <c r="F18" s="9"/>
      <c r="G18" s="10">
        <f t="shared" si="1"/>
        <v>0</v>
      </c>
    </row>
    <row r="19" spans="1:7" x14ac:dyDescent="0.25">
      <c r="A19" s="5">
        <v>11</v>
      </c>
      <c r="B19" s="6"/>
      <c r="C19" s="7"/>
      <c r="D19" s="8"/>
      <c r="E19" s="7"/>
      <c r="F19" s="9"/>
      <c r="G19" s="10">
        <f t="shared" si="1"/>
        <v>0</v>
      </c>
    </row>
    <row r="20" spans="1:7" x14ac:dyDescent="0.25">
      <c r="A20" s="5">
        <v>12</v>
      </c>
      <c r="B20" s="6"/>
      <c r="C20" s="7"/>
      <c r="D20" s="8"/>
      <c r="E20" s="7"/>
      <c r="F20" s="9"/>
      <c r="G20" s="10">
        <f t="shared" si="1"/>
        <v>0</v>
      </c>
    </row>
    <row r="21" spans="1:7" x14ac:dyDescent="0.25">
      <c r="A21" s="5">
        <v>13</v>
      </c>
      <c r="B21" s="6"/>
      <c r="C21" s="7"/>
      <c r="D21" s="8"/>
      <c r="E21" s="7"/>
      <c r="F21" s="9"/>
      <c r="G21" s="10">
        <f t="shared" si="1"/>
        <v>0</v>
      </c>
    </row>
    <row r="22" spans="1:7" x14ac:dyDescent="0.25">
      <c r="A22" s="5">
        <v>14</v>
      </c>
      <c r="B22" s="6"/>
      <c r="C22" s="7"/>
      <c r="D22" s="8"/>
      <c r="E22" s="7"/>
      <c r="F22" s="9"/>
      <c r="G22" s="10">
        <f t="shared" si="1"/>
        <v>0</v>
      </c>
    </row>
    <row r="23" spans="1:7" x14ac:dyDescent="0.25">
      <c r="A23" s="5">
        <v>15</v>
      </c>
      <c r="B23" s="6"/>
      <c r="C23" s="7"/>
      <c r="D23" s="8"/>
      <c r="E23" s="7"/>
      <c r="F23" s="9"/>
      <c r="G23" s="10">
        <f t="shared" si="1"/>
        <v>0</v>
      </c>
    </row>
    <row r="24" spans="1:7" x14ac:dyDescent="0.25">
      <c r="A24" s="5">
        <v>16</v>
      </c>
      <c r="B24" s="6"/>
      <c r="C24" s="7"/>
      <c r="D24" s="8"/>
      <c r="E24" s="7"/>
      <c r="F24" s="9"/>
      <c r="G24" s="10">
        <f t="shared" si="1"/>
        <v>0</v>
      </c>
    </row>
    <row r="25" spans="1:7" x14ac:dyDescent="0.25">
      <c r="A25" s="5">
        <v>18</v>
      </c>
      <c r="B25" s="6"/>
      <c r="C25" s="7"/>
      <c r="D25" s="7"/>
      <c r="E25" s="7"/>
      <c r="F25" s="9"/>
      <c r="G25" s="10">
        <f t="shared" si="1"/>
        <v>0</v>
      </c>
    </row>
    <row r="26" spans="1:7" x14ac:dyDescent="0.25">
      <c r="A26" s="5">
        <v>19</v>
      </c>
      <c r="B26" s="6"/>
      <c r="C26" s="7"/>
      <c r="D26" s="8"/>
      <c r="E26" s="7"/>
      <c r="F26" s="9"/>
      <c r="G26" s="10">
        <f t="shared" si="1"/>
        <v>0</v>
      </c>
    </row>
    <row r="27" spans="1:7" x14ac:dyDescent="0.25">
      <c r="A27" s="5">
        <v>20</v>
      </c>
      <c r="B27" s="6"/>
      <c r="C27" s="7"/>
      <c r="D27" s="8"/>
      <c r="E27" s="7"/>
      <c r="F27" s="9"/>
      <c r="G27" s="10">
        <f t="shared" si="1"/>
        <v>0</v>
      </c>
    </row>
    <row r="28" spans="1:7" x14ac:dyDescent="0.25">
      <c r="A28" s="5">
        <v>21</v>
      </c>
      <c r="B28" s="6"/>
      <c r="C28" s="7"/>
      <c r="D28" s="8"/>
      <c r="E28" s="7"/>
      <c r="F28" s="9"/>
      <c r="G28" s="10">
        <f t="shared" si="1"/>
        <v>0</v>
      </c>
    </row>
    <row r="29" spans="1:7" x14ac:dyDescent="0.25">
      <c r="A29" s="5">
        <v>22</v>
      </c>
      <c r="B29" s="6"/>
      <c r="C29" s="7"/>
      <c r="D29" s="8"/>
      <c r="E29" s="7"/>
      <c r="F29" s="9"/>
      <c r="G29" s="10">
        <f t="shared" si="1"/>
        <v>0</v>
      </c>
    </row>
    <row r="30" spans="1:7" x14ac:dyDescent="0.25">
      <c r="A30" s="5">
        <v>23</v>
      </c>
      <c r="B30" s="6"/>
      <c r="C30" s="7"/>
      <c r="D30" s="8"/>
      <c r="E30" s="7"/>
      <c r="F30" s="9"/>
      <c r="G30" s="10">
        <f t="shared" si="1"/>
        <v>0</v>
      </c>
    </row>
    <row r="31" spans="1:7" x14ac:dyDescent="0.25">
      <c r="A31" s="5">
        <v>24</v>
      </c>
      <c r="B31" s="6"/>
      <c r="C31" s="7"/>
      <c r="D31" s="8"/>
      <c r="E31" s="7"/>
      <c r="F31" s="9"/>
      <c r="G31" s="10">
        <f t="shared" si="1"/>
        <v>0</v>
      </c>
    </row>
    <row r="32" spans="1:7" x14ac:dyDescent="0.25">
      <c r="A32" s="5">
        <v>25</v>
      </c>
      <c r="B32" s="6"/>
      <c r="C32" s="7"/>
      <c r="D32" s="8"/>
      <c r="E32" s="7"/>
      <c r="F32" s="9"/>
      <c r="G32" s="10">
        <f t="shared" si="1"/>
        <v>0</v>
      </c>
    </row>
    <row r="33" spans="2:8" x14ac:dyDescent="0.25">
      <c r="B33" s="28" t="s">
        <v>12</v>
      </c>
      <c r="C33" s="29"/>
      <c r="D33" s="3"/>
      <c r="E33" s="12">
        <f>SUM(E9:E32)</f>
        <v>31143249</v>
      </c>
      <c r="F33" s="13">
        <f>SUM(F9:F32)</f>
        <v>0</v>
      </c>
      <c r="G33" s="14">
        <f t="shared" si="1"/>
        <v>31143249</v>
      </c>
    </row>
    <row r="34" spans="2:8" x14ac:dyDescent="0.25">
      <c r="C34" s="15"/>
      <c r="E34" s="15"/>
    </row>
    <row r="35" spans="2:8" x14ac:dyDescent="0.25">
      <c r="C35" s="15"/>
      <c r="E35" s="15"/>
    </row>
    <row r="36" spans="2:8" x14ac:dyDescent="0.25">
      <c r="C36" s="15"/>
      <c r="H36" s="11"/>
    </row>
    <row r="37" spans="2:8" x14ac:dyDescent="0.25">
      <c r="C37" s="15"/>
    </row>
    <row r="38" spans="2:8" x14ac:dyDescent="0.25">
      <c r="C38" s="15"/>
    </row>
    <row r="39" spans="2:8" x14ac:dyDescent="0.25">
      <c r="C39" s="15"/>
    </row>
    <row r="40" spans="2:8" x14ac:dyDescent="0.25">
      <c r="C40" s="15"/>
    </row>
    <row r="41" spans="2:8" x14ac:dyDescent="0.25">
      <c r="C41" s="15"/>
    </row>
    <row r="42" spans="2:8" x14ac:dyDescent="0.25">
      <c r="C42" s="15"/>
    </row>
    <row r="43" spans="2:8" x14ac:dyDescent="0.25">
      <c r="C43" s="15"/>
    </row>
    <row r="44" spans="2:8" x14ac:dyDescent="0.25">
      <c r="C44" s="15"/>
    </row>
    <row r="45" spans="2:8" x14ac:dyDescent="0.25">
      <c r="C45" s="15"/>
    </row>
    <row r="46" spans="2:8" x14ac:dyDescent="0.25">
      <c r="C46" s="15"/>
    </row>
    <row r="47" spans="2:8" x14ac:dyDescent="0.25">
      <c r="C47" s="15"/>
    </row>
    <row r="48" spans="2:8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  <row r="56" spans="3:3" x14ac:dyDescent="0.25">
      <c r="C56" s="15"/>
    </row>
    <row r="57" spans="3:3" x14ac:dyDescent="0.25">
      <c r="C57" s="15"/>
    </row>
    <row r="58" spans="3:3" x14ac:dyDescent="0.25">
      <c r="C58" s="15"/>
    </row>
  </sheetData>
  <mergeCells count="1"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CA TOTAL</vt:lpstr>
      <vt:lpstr>Janvier</vt:lpstr>
      <vt:lpstr>Février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Noel</dc:creator>
  <cp:lastModifiedBy>Assistance Technique 225</cp:lastModifiedBy>
  <dcterms:created xsi:type="dcterms:W3CDTF">2024-05-21T11:03:54Z</dcterms:created>
  <dcterms:modified xsi:type="dcterms:W3CDTF">2025-08-11T19:32:02Z</dcterms:modified>
</cp:coreProperties>
</file>