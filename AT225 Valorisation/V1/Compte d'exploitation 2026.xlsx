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9. Pret ME &amp; ligne de crédit\Compte d'exploitation\"/>
    </mc:Choice>
  </mc:AlternateContent>
  <xr:revisionPtr revIDLastSave="0" documentId="13_ncr:1_{A96533D3-0372-4C70-88ED-991D65DFADDE}" xr6:coauthVersionLast="47" xr6:coauthVersionMax="47" xr10:uidLastSave="{00000000-0000-0000-0000-000000000000}"/>
  <bookViews>
    <workbookView xWindow="-105" yWindow="0" windowWidth="15390" windowHeight="20985" xr2:uid="{80B61F7D-BD72-4375-BCDF-0458560BD37F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" l="1"/>
  <c r="C43" i="2" s="1"/>
  <c r="C7" i="2"/>
  <c r="C8" i="2"/>
  <c r="C9" i="2"/>
  <c r="C10" i="2"/>
  <c r="C11" i="2"/>
  <c r="C13" i="2"/>
  <c r="C14" i="2"/>
  <c r="C15" i="2"/>
  <c r="C16" i="2"/>
  <c r="C17" i="2"/>
  <c r="C18" i="2"/>
  <c r="C19" i="2"/>
  <c r="C21" i="2"/>
  <c r="C22" i="2"/>
  <c r="C23" i="2"/>
  <c r="C24" i="2"/>
  <c r="C25" i="2"/>
  <c r="C27" i="2"/>
  <c r="C28" i="2"/>
  <c r="C31" i="2"/>
  <c r="C32" i="2"/>
  <c r="C33" i="2"/>
  <c r="C35" i="2"/>
  <c r="C36" i="2"/>
  <c r="C37" i="2"/>
  <c r="C38" i="2"/>
  <c r="C40" i="2"/>
  <c r="C41" i="2"/>
  <c r="C42" i="2"/>
  <c r="C5" i="2"/>
  <c r="B26" i="2"/>
  <c r="C26" i="2" s="1"/>
  <c r="B39" i="2" l="1"/>
  <c r="C39" i="2" s="1"/>
  <c r="B34" i="2"/>
  <c r="C34" i="2" s="1"/>
  <c r="B30" i="2"/>
  <c r="C30" i="2" s="1"/>
  <c r="B20" i="2"/>
  <c r="C20" i="2" s="1"/>
  <c r="B12" i="2"/>
  <c r="C12" i="2" s="1"/>
  <c r="B6" i="2"/>
  <c r="C6" i="2" s="1"/>
  <c r="B44" i="2" l="1"/>
  <c r="C44" i="2" s="1"/>
  <c r="B45" i="2" l="1"/>
  <c r="C45" i="2" s="1"/>
</calcChain>
</file>

<file path=xl/sharedStrings.xml><?xml version="1.0" encoding="utf-8"?>
<sst xmlns="http://schemas.openxmlformats.org/spreadsheetml/2006/main" count="43" uniqueCount="43">
  <si>
    <t>Fourniture non stocckables (carburant)</t>
  </si>
  <si>
    <t>Sous-traitance générale</t>
  </si>
  <si>
    <t>Prime d'assurance</t>
  </si>
  <si>
    <t>Locations, charges locatives</t>
  </si>
  <si>
    <t>Entretien, réparations et maintenance</t>
  </si>
  <si>
    <t>Publicité, publications, relation publiques</t>
  </si>
  <si>
    <t>Frais bancaires</t>
  </si>
  <si>
    <t>Frais de télécommunication</t>
  </si>
  <si>
    <t>Autres frais de communication (internet)</t>
  </si>
  <si>
    <t>Rémunérations d'intermédiaires et conseils</t>
  </si>
  <si>
    <t>Frais de formation du personnel (MASE et HSE)</t>
  </si>
  <si>
    <t>Rémunérations de personnel extérieur (independants)</t>
  </si>
  <si>
    <t>Autres charges externes</t>
  </si>
  <si>
    <t>Impôts et taxes directs</t>
  </si>
  <si>
    <t>Droits d'enregistrement</t>
  </si>
  <si>
    <t>Pénalités, Amendes fiscales</t>
  </si>
  <si>
    <t>Autres achats</t>
  </si>
  <si>
    <t>Autres frais de transport</t>
  </si>
  <si>
    <t>Rémunérations directes versées au personnel</t>
  </si>
  <si>
    <t>Indemnités forfaitaires versées au personnel (Gérant)</t>
  </si>
  <si>
    <t>Charges sociales</t>
  </si>
  <si>
    <t>Autres charges sociales</t>
  </si>
  <si>
    <t>Fournitures non stockables (CIE)</t>
  </si>
  <si>
    <t>Fournitures non stocckables (sodeci)</t>
  </si>
  <si>
    <t>Services vendus</t>
  </si>
  <si>
    <t xml:space="preserve">Achat fournitures de bureau </t>
  </si>
  <si>
    <t>Total Approvisionnement</t>
  </si>
  <si>
    <t>Total Service Exterieurs</t>
  </si>
  <si>
    <t>Total Autres Services Exterieurs</t>
  </si>
  <si>
    <t>Total Impots</t>
  </si>
  <si>
    <t xml:space="preserve">Total Autres Achats et Autres Charges </t>
  </si>
  <si>
    <t>Total Salaires</t>
  </si>
  <si>
    <t>Total Produits</t>
  </si>
  <si>
    <t>Frais financiers</t>
  </si>
  <si>
    <t>Dotations aux amortissements</t>
  </si>
  <si>
    <t>Dotations aux provisions</t>
  </si>
  <si>
    <t>Total Amortissements et Interets</t>
  </si>
  <si>
    <t>Total General Charges</t>
  </si>
  <si>
    <t>Resultats Avant Impots</t>
  </si>
  <si>
    <t>Elements</t>
  </si>
  <si>
    <t>COMPTE D'EXPLOITATION PREVISIONNEL</t>
  </si>
  <si>
    <t>Achat de materiel  et équipement</t>
  </si>
  <si>
    <t>Charges diverses (Dons à l'orphelinat + CPM)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</si>
</sst>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1" xfId="1" applyNumberFormat="1" applyFont="1" applyBorder="1"/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left"/>
      <protection locked="0"/>
    </xf>
    <xf numFmtId="164" fontId="0" fillId="4" borderId="1" xfId="1" applyNumberFormat="1" applyFont="1" applyFill="1" applyBorder="1"/>
    <xf numFmtId="164" fontId="0" fillId="5" borderId="1" xfId="1" applyNumberFormat="1" applyFont="1" applyFill="1" applyBorder="1"/>
    <xf numFmtId="0" fontId="4" fillId="2" borderId="2" xfId="0" applyFont="1" applyFill="1" applyBorder="1" applyAlignment="1">
      <alignment horizontal="left"/>
    </xf>
    <xf numFmtId="164" fontId="0" fillId="2" borderId="1" xfId="0" applyNumberFormat="1" applyFill="1" applyBorder="1"/>
    <xf numFmtId="0" fontId="3" fillId="0" borderId="2" xfId="0" applyFont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horizontal="center"/>
    </xf>
    <xf numFmtId="164" fontId="0" fillId="2" borderId="1" xfId="1" applyNumberFormat="1" applyFont="1" applyFill="1" applyBorder="1"/>
    <xf numFmtId="164" fontId="0" fillId="0" borderId="1" xfId="1" applyNumberFormat="1" applyFont="1" applyFill="1" applyBorder="1"/>
    <xf numFmtId="0" fontId="5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7976-3C8B-4EB7-A82D-0CB8EAA29E57}">
  <dimension ref="A2:E45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56.140625" customWidth="1"/>
    <col min="2" max="2" width="19.140625" customWidth="1"/>
    <col min="3" max="3" width="18.5703125" customWidth="1"/>
    <col min="5" max="5" width="17.42578125" bestFit="1" customWidth="1"/>
  </cols>
  <sheetData>
    <row r="2" spans="1:5" ht="18.75" x14ac:dyDescent="0.3">
      <c r="A2" s="15" t="s">
        <v>40</v>
      </c>
      <c r="B2" s="15"/>
      <c r="C2" s="15"/>
    </row>
    <row r="3" spans="1:5" x14ac:dyDescent="0.25">
      <c r="E3" s="16"/>
    </row>
    <row r="4" spans="1:5" ht="18.75" x14ac:dyDescent="0.25">
      <c r="A4" s="2" t="s">
        <v>39</v>
      </c>
      <c r="B4" s="12">
        <v>2024</v>
      </c>
      <c r="C4" s="12">
        <v>2025</v>
      </c>
      <c r="E4" s="16">
        <v>2026</v>
      </c>
    </row>
    <row r="5" spans="1:5" ht="18.75" x14ac:dyDescent="0.25">
      <c r="A5" s="4" t="s">
        <v>24</v>
      </c>
      <c r="B5" s="1">
        <v>331242600</v>
      </c>
      <c r="C5" s="1">
        <f>+B5*5%+B5</f>
        <v>347804730</v>
      </c>
      <c r="E5" s="16">
        <v>2638000000</v>
      </c>
    </row>
    <row r="6" spans="1:5" ht="18.75" x14ac:dyDescent="0.25">
      <c r="A6" s="5" t="s">
        <v>32</v>
      </c>
      <c r="B6" s="7">
        <f>+B5</f>
        <v>331242600</v>
      </c>
      <c r="C6" s="7">
        <f t="shared" ref="C6:C45" si="0">+B6*5%+B6</f>
        <v>347804730</v>
      </c>
      <c r="E6" s="16">
        <v>2638000000</v>
      </c>
    </row>
    <row r="7" spans="1:5" ht="18.75" x14ac:dyDescent="0.25">
      <c r="A7" s="4" t="s">
        <v>41</v>
      </c>
      <c r="B7" s="1">
        <v>3530815</v>
      </c>
      <c r="C7" s="1">
        <f t="shared" si="0"/>
        <v>3707355.75</v>
      </c>
      <c r="E7" s="16">
        <v>4150000</v>
      </c>
    </row>
    <row r="8" spans="1:5" ht="18.75" x14ac:dyDescent="0.25">
      <c r="A8" s="4" t="s">
        <v>23</v>
      </c>
      <c r="B8" s="1">
        <v>110000</v>
      </c>
      <c r="C8" s="1">
        <f t="shared" si="0"/>
        <v>115500</v>
      </c>
      <c r="E8" s="16">
        <v>4215000</v>
      </c>
    </row>
    <row r="9" spans="1:5" ht="18.75" x14ac:dyDescent="0.25">
      <c r="A9" s="4" t="s">
        <v>22</v>
      </c>
      <c r="B9" s="1">
        <v>410000</v>
      </c>
      <c r="C9" s="1">
        <f t="shared" si="0"/>
        <v>430500</v>
      </c>
      <c r="E9" s="16">
        <v>1100000</v>
      </c>
    </row>
    <row r="10" spans="1:5" ht="18.75" x14ac:dyDescent="0.25">
      <c r="A10" s="4" t="s">
        <v>25</v>
      </c>
      <c r="B10" s="1">
        <v>707200</v>
      </c>
      <c r="C10" s="1">
        <f t="shared" si="0"/>
        <v>742560</v>
      </c>
      <c r="E10" s="16">
        <v>2212200</v>
      </c>
    </row>
    <row r="11" spans="1:5" ht="18.75" x14ac:dyDescent="0.25">
      <c r="A11" s="4" t="s">
        <v>0</v>
      </c>
      <c r="B11" s="1">
        <v>2400000</v>
      </c>
      <c r="C11" s="1">
        <f t="shared" si="0"/>
        <v>2520000</v>
      </c>
      <c r="E11" s="16">
        <v>7400000</v>
      </c>
    </row>
    <row r="12" spans="1:5" ht="18.75" x14ac:dyDescent="0.25">
      <c r="A12" s="5" t="s">
        <v>26</v>
      </c>
      <c r="B12" s="7">
        <f>+B7+B8+B9+B10+B11</f>
        <v>7158015</v>
      </c>
      <c r="C12" s="7">
        <f t="shared" si="0"/>
        <v>7515915.75</v>
      </c>
      <c r="E12" s="16">
        <v>19077200</v>
      </c>
    </row>
    <row r="13" spans="1:5" ht="18.75" x14ac:dyDescent="0.25">
      <c r="A13" s="4" t="s">
        <v>1</v>
      </c>
      <c r="B13" s="1"/>
      <c r="C13" s="1">
        <f t="shared" si="0"/>
        <v>0</v>
      </c>
    </row>
    <row r="14" spans="1:5" ht="18.75" x14ac:dyDescent="0.25">
      <c r="A14" s="4" t="s">
        <v>3</v>
      </c>
      <c r="B14" s="1">
        <v>7200000</v>
      </c>
      <c r="C14" s="1">
        <f t="shared" si="0"/>
        <v>7560000</v>
      </c>
      <c r="E14" s="16">
        <v>11000000</v>
      </c>
    </row>
    <row r="15" spans="1:5" ht="18.75" x14ac:dyDescent="0.25">
      <c r="A15" s="4" t="s">
        <v>4</v>
      </c>
      <c r="B15" s="1">
        <v>1400000</v>
      </c>
      <c r="C15" s="1">
        <f t="shared" si="0"/>
        <v>1470000</v>
      </c>
      <c r="E15" s="16">
        <v>2000000</v>
      </c>
    </row>
    <row r="16" spans="1:5" ht="18.75" x14ac:dyDescent="0.25">
      <c r="A16" s="4" t="s">
        <v>2</v>
      </c>
      <c r="B16" s="1">
        <v>15258212</v>
      </c>
      <c r="C16" s="1">
        <f t="shared" si="0"/>
        <v>16021122.6</v>
      </c>
      <c r="E16" s="16">
        <v>10900000</v>
      </c>
    </row>
    <row r="17" spans="1:5" ht="18.75" x14ac:dyDescent="0.25">
      <c r="A17" s="4" t="s">
        <v>5</v>
      </c>
      <c r="B17" s="1">
        <v>1800000</v>
      </c>
      <c r="C17" s="1">
        <f t="shared" si="0"/>
        <v>1890000</v>
      </c>
      <c r="E17" s="16">
        <v>3100000</v>
      </c>
    </row>
    <row r="18" spans="1:5" ht="18.75" x14ac:dyDescent="0.25">
      <c r="A18" s="4" t="s">
        <v>7</v>
      </c>
      <c r="B18" s="1">
        <v>720000</v>
      </c>
      <c r="C18" s="1">
        <f t="shared" si="0"/>
        <v>756000</v>
      </c>
      <c r="E18" s="16">
        <v>1980000</v>
      </c>
    </row>
    <row r="19" spans="1:5" ht="18.75" x14ac:dyDescent="0.25">
      <c r="A19" s="4" t="s">
        <v>8</v>
      </c>
      <c r="B19" s="1">
        <v>420000</v>
      </c>
      <c r="C19" s="1">
        <f t="shared" si="0"/>
        <v>441000</v>
      </c>
      <c r="E19" s="16">
        <v>420000</v>
      </c>
    </row>
    <row r="20" spans="1:5" ht="18.75" x14ac:dyDescent="0.25">
      <c r="A20" s="5" t="s">
        <v>27</v>
      </c>
      <c r="B20" s="7">
        <f>+B14+B15+B16+B17+B18+B19</f>
        <v>26798212</v>
      </c>
      <c r="C20" s="7">
        <f t="shared" si="0"/>
        <v>28138122.600000001</v>
      </c>
      <c r="E20" s="16">
        <v>24500000</v>
      </c>
    </row>
    <row r="21" spans="1:5" ht="18.75" x14ac:dyDescent="0.25">
      <c r="A21" s="4" t="s">
        <v>6</v>
      </c>
      <c r="B21" s="1">
        <v>1224000</v>
      </c>
      <c r="C21" s="1">
        <f t="shared" si="0"/>
        <v>1285200</v>
      </c>
      <c r="E21" s="16">
        <v>9410000</v>
      </c>
    </row>
    <row r="22" spans="1:5" ht="18.75" x14ac:dyDescent="0.25">
      <c r="A22" s="4" t="s">
        <v>9</v>
      </c>
      <c r="B22" s="1">
        <v>1500000</v>
      </c>
      <c r="C22" s="1">
        <f t="shared" si="0"/>
        <v>1575000</v>
      </c>
      <c r="E22" s="16">
        <v>1450000</v>
      </c>
    </row>
    <row r="23" spans="1:5" ht="18.75" x14ac:dyDescent="0.25">
      <c r="A23" s="4" t="s">
        <v>10</v>
      </c>
      <c r="B23" s="1">
        <v>2600000</v>
      </c>
      <c r="C23" s="1">
        <f t="shared" si="0"/>
        <v>2730000</v>
      </c>
      <c r="E23" s="16">
        <v>3100000</v>
      </c>
    </row>
    <row r="24" spans="1:5" ht="18.75" x14ac:dyDescent="0.25">
      <c r="A24" s="4" t="s">
        <v>11</v>
      </c>
      <c r="B24" s="1">
        <v>3162740</v>
      </c>
      <c r="C24" s="1">
        <f t="shared" si="0"/>
        <v>3320877</v>
      </c>
      <c r="E24" s="16">
        <v>0</v>
      </c>
    </row>
    <row r="25" spans="1:5" ht="18.75" x14ac:dyDescent="0.25">
      <c r="A25" s="4" t="s">
        <v>12</v>
      </c>
      <c r="B25" s="1">
        <v>2736241</v>
      </c>
      <c r="C25" s="1">
        <f t="shared" si="0"/>
        <v>2873053.05</v>
      </c>
      <c r="E25" s="16">
        <v>0</v>
      </c>
    </row>
    <row r="26" spans="1:5" ht="18.75" x14ac:dyDescent="0.25">
      <c r="A26" s="5" t="s">
        <v>28</v>
      </c>
      <c r="B26" s="7">
        <f>+B21+B22+B23+B24+B25</f>
        <v>11222981</v>
      </c>
      <c r="C26" s="7">
        <f t="shared" si="0"/>
        <v>11784130.050000001</v>
      </c>
      <c r="E26" s="16">
        <v>13960000</v>
      </c>
    </row>
    <row r="27" spans="1:5" ht="18.75" x14ac:dyDescent="0.25">
      <c r="A27" s="4" t="s">
        <v>13</v>
      </c>
      <c r="B27" s="1">
        <v>11985100</v>
      </c>
      <c r="C27" s="1">
        <f t="shared" si="0"/>
        <v>12584355</v>
      </c>
      <c r="E27" s="16">
        <v>158280000</v>
      </c>
    </row>
    <row r="28" spans="1:5" ht="18.75" x14ac:dyDescent="0.25">
      <c r="A28" s="4" t="s">
        <v>14</v>
      </c>
      <c r="B28" s="1">
        <v>75000</v>
      </c>
      <c r="C28" s="1">
        <f t="shared" si="0"/>
        <v>78750</v>
      </c>
      <c r="E28" s="16">
        <v>43860000</v>
      </c>
    </row>
    <row r="29" spans="1:5" ht="18.75" x14ac:dyDescent="0.25">
      <c r="A29" s="4" t="s">
        <v>15</v>
      </c>
      <c r="B29" s="1">
        <v>1278250</v>
      </c>
      <c r="C29" s="1"/>
      <c r="E29" s="16">
        <v>0</v>
      </c>
    </row>
    <row r="30" spans="1:5" ht="18.75" x14ac:dyDescent="0.3">
      <c r="A30" s="6" t="s">
        <v>29</v>
      </c>
      <c r="B30" s="7">
        <f>+B27+B28+B29</f>
        <v>13338350</v>
      </c>
      <c r="C30" s="7">
        <f t="shared" si="0"/>
        <v>14005267.5</v>
      </c>
      <c r="E30" s="16">
        <v>202140000</v>
      </c>
    </row>
    <row r="31" spans="1:5" ht="18.75" x14ac:dyDescent="0.25">
      <c r="A31" s="4" t="s">
        <v>16</v>
      </c>
      <c r="B31" s="1">
        <v>650325</v>
      </c>
      <c r="C31" s="1">
        <f t="shared" si="0"/>
        <v>682841.25</v>
      </c>
      <c r="E31" s="16">
        <v>5000000</v>
      </c>
    </row>
    <row r="32" spans="1:5" ht="18.75" x14ac:dyDescent="0.25">
      <c r="A32" s="4" t="s">
        <v>17</v>
      </c>
      <c r="B32" s="1">
        <v>660000</v>
      </c>
      <c r="C32" s="1">
        <f t="shared" si="0"/>
        <v>693000</v>
      </c>
      <c r="E32" s="16">
        <v>1065000</v>
      </c>
    </row>
    <row r="33" spans="1:5" ht="18.75" x14ac:dyDescent="0.25">
      <c r="A33" s="4" t="s">
        <v>42</v>
      </c>
      <c r="B33" s="1">
        <v>800000</v>
      </c>
      <c r="C33" s="1">
        <f t="shared" si="0"/>
        <v>840000</v>
      </c>
      <c r="E33" s="16">
        <v>2400000</v>
      </c>
    </row>
    <row r="34" spans="1:5" ht="18.75" x14ac:dyDescent="0.25">
      <c r="A34" s="5" t="s">
        <v>30</v>
      </c>
      <c r="B34" s="7">
        <f>+B31+B32+B33</f>
        <v>2110325</v>
      </c>
      <c r="C34" s="7">
        <f t="shared" si="0"/>
        <v>2215841.25</v>
      </c>
      <c r="E34" s="16">
        <v>8465000</v>
      </c>
    </row>
    <row r="35" spans="1:5" ht="18.75" x14ac:dyDescent="0.25">
      <c r="A35" s="4" t="s">
        <v>18</v>
      </c>
      <c r="B35" s="1">
        <v>189060000</v>
      </c>
      <c r="C35" s="1">
        <f t="shared" si="0"/>
        <v>198513000</v>
      </c>
      <c r="E35" s="16">
        <v>1290000000</v>
      </c>
    </row>
    <row r="36" spans="1:5" ht="18.75" x14ac:dyDescent="0.25">
      <c r="A36" s="4" t="s">
        <v>19</v>
      </c>
      <c r="B36" s="1">
        <v>12276200</v>
      </c>
      <c r="C36" s="1">
        <f t="shared" si="0"/>
        <v>12890010</v>
      </c>
      <c r="E36" s="16">
        <v>24000000</v>
      </c>
    </row>
    <row r="37" spans="1:5" ht="18.75" x14ac:dyDescent="0.25">
      <c r="A37" s="4" t="s">
        <v>20</v>
      </c>
      <c r="B37" s="1">
        <v>39268176</v>
      </c>
      <c r="C37" s="1">
        <f t="shared" si="0"/>
        <v>41231584.799999997</v>
      </c>
      <c r="E37" s="16">
        <v>206400000</v>
      </c>
    </row>
    <row r="38" spans="1:5" ht="18.75" x14ac:dyDescent="0.25">
      <c r="A38" s="4" t="s">
        <v>21</v>
      </c>
      <c r="B38" s="1">
        <v>900000</v>
      </c>
      <c r="C38" s="1">
        <f t="shared" si="0"/>
        <v>945000</v>
      </c>
      <c r="E38" s="16">
        <v>6450000</v>
      </c>
    </row>
    <row r="39" spans="1:5" ht="18.75" x14ac:dyDescent="0.25">
      <c r="A39" s="5" t="s">
        <v>31</v>
      </c>
      <c r="B39" s="7">
        <f>+B35+B36+B37+B38</f>
        <v>241504376</v>
      </c>
      <c r="C39" s="7">
        <f t="shared" si="0"/>
        <v>253579594.80000001</v>
      </c>
      <c r="E39" s="16">
        <v>1526850000</v>
      </c>
    </row>
    <row r="40" spans="1:5" ht="18.75" x14ac:dyDescent="0.25">
      <c r="A40" s="11" t="s">
        <v>33</v>
      </c>
      <c r="B40" s="14">
        <v>875000</v>
      </c>
      <c r="C40" s="1">
        <f t="shared" si="0"/>
        <v>918750</v>
      </c>
    </row>
    <row r="41" spans="1:5" ht="18.75" x14ac:dyDescent="0.25">
      <c r="A41" s="11" t="s">
        <v>34</v>
      </c>
      <c r="B41" s="14">
        <v>1789210</v>
      </c>
      <c r="C41" s="1">
        <f t="shared" si="0"/>
        <v>1878670.5</v>
      </c>
    </row>
    <row r="42" spans="1:5" ht="18.75" x14ac:dyDescent="0.25">
      <c r="A42" s="11" t="s">
        <v>35</v>
      </c>
      <c r="B42" s="14"/>
      <c r="C42" s="1">
        <f t="shared" si="0"/>
        <v>0</v>
      </c>
      <c r="E42" s="16"/>
    </row>
    <row r="43" spans="1:5" ht="18.75" x14ac:dyDescent="0.25">
      <c r="A43" s="5" t="s">
        <v>36</v>
      </c>
      <c r="B43" s="7">
        <f>SUM(B40:B42)</f>
        <v>2664210</v>
      </c>
      <c r="C43" s="7">
        <f t="shared" si="0"/>
        <v>2797420.5</v>
      </c>
      <c r="E43" s="16"/>
    </row>
    <row r="44" spans="1:5" ht="18.75" x14ac:dyDescent="0.25">
      <c r="A44" s="3" t="s">
        <v>37</v>
      </c>
      <c r="B44" s="8">
        <f>+B12+B20+B26+B30+B34+B39+B43</f>
        <v>304796469</v>
      </c>
      <c r="C44" s="8">
        <f t="shared" si="0"/>
        <v>320036292.44999999</v>
      </c>
      <c r="E44" s="16">
        <v>1794992200</v>
      </c>
    </row>
    <row r="45" spans="1:5" ht="18.75" x14ac:dyDescent="0.3">
      <c r="A45" s="9" t="s">
        <v>38</v>
      </c>
      <c r="B45" s="10">
        <f>+B6-B44</f>
        <v>26446131</v>
      </c>
      <c r="C45" s="13">
        <f t="shared" si="0"/>
        <v>27768437.550000001</v>
      </c>
      <c r="E45" s="16">
        <v>843007800</v>
      </c>
    </row>
  </sheetData>
  <mergeCells count="1">
    <mergeCell ref="A2:C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Noel</dc:creator>
  <cp:lastModifiedBy>Assistance Technique 225</cp:lastModifiedBy>
  <cp:lastPrinted>2025-02-14T10:39:55Z</cp:lastPrinted>
  <dcterms:created xsi:type="dcterms:W3CDTF">2024-11-11T15:38:16Z</dcterms:created>
  <dcterms:modified xsi:type="dcterms:W3CDTF">2026-03-06T16:37:23Z</dcterms:modified>
</cp:coreProperties>
</file>