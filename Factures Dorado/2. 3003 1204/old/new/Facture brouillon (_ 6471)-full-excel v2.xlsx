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nta\Mon Drive\1. Claude Projects\Factures Dorado\2. 3003 1204\"/>
    </mc:Choice>
  </mc:AlternateContent>
  <xr:revisionPtr revIDLastSave="0" documentId="13_ncr:1_{7A3DA432-E1F7-4821-BD09-6ABAE63B3C09}" xr6:coauthVersionLast="47" xr6:coauthVersionMax="47" xr10:uidLastSave="{00000000-0000-0000-0000-000000000000}"/>
  <bookViews>
    <workbookView xWindow="25695" yWindow="0" windowWidth="26010" windowHeight="20985" tabRatio="500" xr2:uid="{00000000-000D-0000-FFFF-FFFF00000000}"/>
  </bookViews>
  <sheets>
    <sheet name="Factur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0" i="1" l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I51" i="1" s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29" i="1"/>
  <c r="D28" i="1"/>
  <c r="D27" i="1"/>
  <c r="D26" i="1"/>
  <c r="D25" i="1"/>
  <c r="D23" i="1"/>
  <c r="D22" i="1"/>
  <c r="D21" i="1"/>
  <c r="D20" i="1"/>
  <c r="D19" i="1"/>
  <c r="G15" i="1"/>
  <c r="F15" i="1"/>
  <c r="E15" i="1"/>
  <c r="I60" i="1" s="1"/>
  <c r="G14" i="1"/>
  <c r="F14" i="1"/>
  <c r="E14" i="1"/>
  <c r="I61" i="1" l="1"/>
  <c r="I56" i="1"/>
  <c r="I38" i="1"/>
  <c r="J38" i="1" s="1"/>
  <c r="K38" i="1" s="1"/>
  <c r="I59" i="1"/>
  <c r="J59" i="1" s="1"/>
  <c r="K59" i="1" s="1"/>
  <c r="I70" i="1"/>
  <c r="J70" i="1" s="1"/>
  <c r="K70" i="1" s="1"/>
  <c r="I27" i="1"/>
  <c r="J27" i="1" s="1"/>
  <c r="K27" i="1" s="1"/>
  <c r="I58" i="1"/>
  <c r="J58" i="1" s="1"/>
  <c r="K58" i="1" s="1"/>
  <c r="I43" i="1"/>
  <c r="J43" i="1" s="1"/>
  <c r="K43" i="1" s="1"/>
  <c r="I22" i="1"/>
  <c r="J22" i="1" s="1"/>
  <c r="K22" i="1" s="1"/>
  <c r="I49" i="1"/>
  <c r="J49" i="1" s="1"/>
  <c r="K49" i="1" s="1"/>
  <c r="I65" i="1"/>
  <c r="J65" i="1" s="1"/>
  <c r="K65" i="1" s="1"/>
  <c r="I41" i="1"/>
  <c r="J41" i="1" s="1"/>
  <c r="K41" i="1" s="1"/>
  <c r="I20" i="1"/>
  <c r="J20" i="1" s="1"/>
  <c r="K20" i="1" s="1"/>
  <c r="I64" i="1"/>
  <c r="J64" i="1" s="1"/>
  <c r="K64" i="1" s="1"/>
  <c r="I67" i="1"/>
  <c r="J67" i="1" s="1"/>
  <c r="K67" i="1" s="1"/>
  <c r="I39" i="1"/>
  <c r="J39" i="1" s="1"/>
  <c r="K39" i="1" s="1"/>
  <c r="I44" i="1"/>
  <c r="J44" i="1" s="1"/>
  <c r="K44" i="1" s="1"/>
  <c r="I21" i="1"/>
  <c r="J21" i="1" s="1"/>
  <c r="K21" i="1" s="1"/>
  <c r="I46" i="1"/>
  <c r="J46" i="1" s="1"/>
  <c r="K46" i="1" s="1"/>
  <c r="I23" i="1"/>
  <c r="J23" i="1" s="1"/>
  <c r="K23" i="1" s="1"/>
  <c r="I48" i="1"/>
  <c r="J48" i="1" s="1"/>
  <c r="K48" i="1" s="1"/>
  <c r="I26" i="1"/>
  <c r="J26" i="1" s="1"/>
  <c r="K26" i="1" s="1"/>
  <c r="I28" i="1"/>
  <c r="J28" i="1" s="1"/>
  <c r="K28" i="1" s="1"/>
  <c r="I66" i="1"/>
  <c r="J66" i="1" s="1"/>
  <c r="I29" i="1"/>
  <c r="J29" i="1" s="1"/>
  <c r="K29" i="1" s="1"/>
  <c r="I33" i="1"/>
  <c r="I34" i="1"/>
  <c r="I53" i="1"/>
  <c r="J53" i="1" s="1"/>
  <c r="K53" i="1" s="1"/>
  <c r="I68" i="1"/>
  <c r="J68" i="1" s="1"/>
  <c r="K68" i="1" s="1"/>
  <c r="I54" i="1"/>
  <c r="J54" i="1" s="1"/>
  <c r="K54" i="1" s="1"/>
  <c r="I69" i="1"/>
  <c r="J69" i="1" s="1"/>
  <c r="K69" i="1" s="1"/>
  <c r="I36" i="1"/>
  <c r="J36" i="1" s="1"/>
  <c r="K36" i="1" s="1"/>
  <c r="J60" i="1"/>
  <c r="K60" i="1" s="1"/>
  <c r="J33" i="1"/>
  <c r="K33" i="1" s="1"/>
  <c r="J34" i="1"/>
  <c r="K34" i="1" s="1"/>
  <c r="J51" i="1"/>
  <c r="K51" i="1" s="1"/>
  <c r="J56" i="1"/>
  <c r="K56" i="1" s="1"/>
  <c r="J61" i="1"/>
  <c r="K61" i="1" s="1"/>
  <c r="I19" i="1"/>
  <c r="I52" i="1"/>
  <c r="I31" i="1"/>
  <c r="I42" i="1"/>
  <c r="I57" i="1"/>
  <c r="I63" i="1"/>
  <c r="I25" i="1"/>
  <c r="I37" i="1"/>
  <c r="I47" i="1"/>
  <c r="I62" i="1"/>
  <c r="I35" i="1"/>
  <c r="I40" i="1"/>
  <c r="I45" i="1"/>
  <c r="I50" i="1"/>
  <c r="I55" i="1"/>
  <c r="K66" i="1" l="1"/>
  <c r="J47" i="1"/>
  <c r="K47" i="1"/>
  <c r="J63" i="1"/>
  <c r="K63" i="1" s="1"/>
  <c r="J62" i="1"/>
  <c r="K62" i="1"/>
  <c r="J40" i="1"/>
  <c r="K40" i="1" s="1"/>
  <c r="J35" i="1"/>
  <c r="K35" i="1" s="1"/>
  <c r="J42" i="1"/>
  <c r="K42" i="1" s="1"/>
  <c r="K72" i="1"/>
  <c r="J19" i="1"/>
  <c r="J37" i="1"/>
  <c r="K37" i="1"/>
  <c r="J25" i="1"/>
  <c r="K25" i="1" s="1"/>
  <c r="J57" i="1"/>
  <c r="K57" i="1" s="1"/>
  <c r="J31" i="1"/>
  <c r="K31" i="1" s="1"/>
  <c r="J52" i="1"/>
  <c r="K52" i="1" s="1"/>
  <c r="J55" i="1"/>
  <c r="K55" i="1" s="1"/>
  <c r="J50" i="1"/>
  <c r="K50" i="1" s="1"/>
  <c r="J45" i="1"/>
  <c r="K45" i="1" s="1"/>
  <c r="K73" i="1" l="1"/>
  <c r="K74" i="1" s="1"/>
  <c r="K19" i="1"/>
</calcChain>
</file>

<file path=xl/sharedStrings.xml><?xml version="1.0" encoding="utf-8"?>
<sst xmlns="http://schemas.openxmlformats.org/spreadsheetml/2006/main" count="138" uniqueCount="87">
  <si>
    <t>ASSISTANCE TECHNIQUE 225
Abidjan &amp; Grand Bassam
Côte d'Ivoire</t>
  </si>
  <si>
    <t>Client</t>
  </si>
  <si>
    <t>Dorado Ivory SA</t>
  </si>
  <si>
    <t>Email</t>
  </si>
  <si>
    <t>sarahfranklin.schaar@doradonuts.com</t>
  </si>
  <si>
    <t>Adresse</t>
  </si>
  <si>
    <t>Facture client</t>
  </si>
  <si>
    <t>CC</t>
  </si>
  <si>
    <t>1945025 J</t>
  </si>
  <si>
    <t>Date de la facture :  2026-04-24</t>
  </si>
  <si>
    <t>Heure Std</t>
  </si>
  <si>
    <t>HS 15%</t>
  </si>
  <si>
    <t>HS 50%</t>
  </si>
  <si>
    <t>HS 75%</t>
  </si>
  <si>
    <t>Manut.</t>
  </si>
  <si>
    <t>Superviseur</t>
  </si>
  <si>
    <t>Période - 3003 au 1204 - 2026</t>
  </si>
  <si>
    <t>Description</t>
  </si>
  <si>
    <t>Contrat</t>
  </si>
  <si>
    <t>H. Std</t>
  </si>
  <si>
    <t>Total Heures</t>
  </si>
  <si>
    <t>Montant HT</t>
  </si>
  <si>
    <t>Taxes</t>
  </si>
  <si>
    <t>Montant TTC</t>
  </si>
  <si>
    <t>Maintenance - Boiler A</t>
  </si>
  <si>
    <t>Diabate Tiemoko
Aide Soudeur
Contrat journalier  - 40h/sem
Date debut: 16/03/2026
HS 15%: 6 heures
HS 50%: 10 heures
HS 75%: 8 heures</t>
  </si>
  <si>
    <t>Manut</t>
  </si>
  <si>
    <t>Bassey Michael Esin
Opérateur
Contrat journalier  - 40h/sem
Date debut: 16/03/2026
HS 75%: 8 heures</t>
  </si>
  <si>
    <t>Mbengue El Hadj Ousseuno
Manutentionnaire
Contrat journalier  - 40h/sem
Date debut: 16/03/2026
HS 75%: 8 heures</t>
  </si>
  <si>
    <t>Sangaré Salif
Manutentionnaire
Contrat journalier  - 40h/sem
Date debut: 16/03/2026
HS 75%: 8 heures</t>
  </si>
  <si>
    <t>N'Guessan Amani Jean Mickael
Manutensionnaire
Contrat journalier  - 40h/sem
Date debut: 16/03/2026
HS 75%: 8 heures</t>
  </si>
  <si>
    <t>Maintenance - Boiler B</t>
  </si>
  <si>
    <t>Ogunsile Abayomie
Opérateur
Contrat journalier  - 40h/sem
Date debut: 16/03/2026
HS 15%: 12 heures
HS 50%: 4 heures
HS 75%: 8 heures</t>
  </si>
  <si>
    <t>Stephen Nicholas
Opérateur
Contrat journalier  - 40h/sem
Date debut: 16/03/2026
HS 75%: 8 heures</t>
  </si>
  <si>
    <t>Nene Bi Jean Marc
Manutentionnaire
Contrat journalier  - 40h/sem
Date debut: 16/03/2026
HS 75%: 8 heures</t>
  </si>
  <si>
    <t>Sery Charles Lago
Aide Opérateur
Contrat journalier  - 40h/sem
Date debut: 16/03/2026
HS 75%: 8 heures</t>
  </si>
  <si>
    <t>Aniefiok Good Luck Samuel
Manutentionnaire
Contrat journalier  - 40h/sem
Date debut: 16/03/2026
HS 15%: 6 heures
HS 50%: 2 heures
HS 75%: 8 heures</t>
  </si>
  <si>
    <t>Agent de sécurité</t>
  </si>
  <si>
    <t>CNSL</t>
  </si>
  <si>
    <t>Coulibaly Moussa
Manutentionnaire
Contrat journalier  - 40h/sem
Date debut: 16/03/2026</t>
  </si>
  <si>
    <t>Camara Fousseni
Manutentionnaire
Contrat journalier  - 40h/sem
Date debut: 16/03/2026
HS 75%: 8 heures</t>
  </si>
  <si>
    <t>Kane Namory
Manutentionnaire
Contrat journalier  - 40h/sem
Date debut: 16/03/2026
HS 15%: 6 heures
HS 50%: 2 heures
HS 75%: 8 heures</t>
  </si>
  <si>
    <t>Tall Sayouba
Manutentionnaire
Contrat journalier  - 40h/sem
Date debut: 16/03/2026
HS 15%: 6 heures
HS 50%: 2 heures</t>
  </si>
  <si>
    <t>Konan Kouamé Alexander
Manutentionnaire
Contrat journalier  - 40h/sem
Date debut: 16/03/2026</t>
  </si>
  <si>
    <t>Diande Kada
Manutentionnaire
Contrat journalier  - 40h/sem
Date debut: 16/03/2026
HS 15%: 6 heures
HS 50%: 2 heures</t>
  </si>
  <si>
    <t>Sidibe Oumar
Manutentionnaire
Contrat journalier  - 40h/sem
Date debut: 16/03/2026
HS 15%: 6 heures
HS 50%: 2 heures</t>
  </si>
  <si>
    <t>Legre Zigo Stephane
Manutentionnaire
Contrat journalier  - 40h/sem
Date debut: 16/03/2026
HS 15%: 6 heures
HS 50%: 10 heures</t>
  </si>
  <si>
    <t>Kané Siafa
Manutentionnaire
Contrat journalier  - 40h/sem
Date debut: 16/03/2026
HS 15%: 12 heures
HS 50%: 4 heures</t>
  </si>
  <si>
    <t>Coulibaly Zié Mamadou
Manutentionnaire
Contrat journalier  - 40h/sem
Date debut: 16/03/2026
HS 15%: 6 heures
HS 50%: 2 heures</t>
  </si>
  <si>
    <t>Kane ohi
Manutentionnaire
Contrat journalier  - 40h/sem
Date debut: 16/03/2026
HS 15%: 12 heures
HS 50%: 4 heures</t>
  </si>
  <si>
    <t>Barry Yacouba
Manutentionnaire
Contrat journalier  - 40h/sem
Date debut: 16/03/2026
HS 15%: 6 heures
HS 50%: 2 heures
HS 75%: 8 heures</t>
  </si>
  <si>
    <t>Tah Bi Tra Arsene
Manutentionnaire
Contrat journalier  - 40h/sem
Date debut: 16/03/2026
HS 75%: 8 heures</t>
  </si>
  <si>
    <t>Kouassi Nathanael
Manutentionnaire
Contrat journalier  - 40h/sem
Date debut: 16/03/2026
HS 15%: 6 heures
HS 50%: 2 heures
HS 75%: 8 heures</t>
  </si>
  <si>
    <t>Sawadogo Rayim
Manutentionnaire
Contrat journalier  - 40h/sem
Date debut: 16/03/2026
HS 15%: 6 heures
HS 50%: 2 heures
HS 75%: 8 heures</t>
  </si>
  <si>
    <t>Ako Will
Manutentionnaire
Contrat journalier  - 40h/sem
Date debut: 16/03/2026
HS 15%: 12 heures
HS 50%: 4 heures</t>
  </si>
  <si>
    <t>Mmadu Justin Chidiebere
Manutentionnaire
Contrat journalier  - 40h/sem
Date debut: 16/03/2026
HS 15%: 12 heures
HS 50%: 12 heures
HS 75%: 8 heures</t>
  </si>
  <si>
    <t>Gnamou Daniel
Manutentionnaire
Contrat journalier  - 40h/sem
Date debut: 16/03/2026
HS 15%: 6 heures
HS 50%: 2 heures
HS 75%: 8 heures</t>
  </si>
  <si>
    <t>Shamo Ibrahim
Manutentionnaire
Contrat journalier  - 40h/sem
Date debut: 16/03/2026
HS 75%: 8 heures</t>
  </si>
  <si>
    <t>Chibueze David Ikeji
Manutentionnaire
Contrat journalier  - 40h/sem
Date debut: 16/03/2026
HS 15%: 6 heures
HS 50%: 2 heures</t>
  </si>
  <si>
    <t>Yao Bohoussou Noel
Manutentionnaire
Contrat journalier  - 40h/sem
Date debut: 16/03/2026</t>
  </si>
  <si>
    <t>Zaouli Bi Irié Beranger
Manutentionnaire
Contrat journalier  - 40h/sem
Date debut: 16/03/2026
HS 15%: 6 heures
HS 50%: 2 heures
HS 75%: 8 heures</t>
  </si>
  <si>
    <t>Moussa Souleymane
Manutentionnaire
Contrat journalier  - 40h/sem
Date debut: 16/03/2026
HS 75%: 8 heures</t>
  </si>
  <si>
    <t>Tall Yaya
Manutentionnaire
Contrat journalier  - 40h/sem
Date debut: 16/03/2026</t>
  </si>
  <si>
    <t>Kaboré Daouda
Manutentionnaire
Contrat journalier  - 40h/sem
Date debut: 16/03/2026</t>
  </si>
  <si>
    <t>Sidibé Amara
Manutentionnaire
Contrat journalier  - 40h/sem
Date debut: 16/03/2026
HS 75%: 8 heures</t>
  </si>
  <si>
    <t>Kouassi Lessou Fabrice
Manutentionnaire
Contrat journalier  - 40h/sem
Date debut: 16/03/2026
HS 15%: 6 heures
HS 50%: 2 heures</t>
  </si>
  <si>
    <t>Akinpeloye Idowu Seun
Manutentionnaire
Contrat journalier  - 40h/sem
Date debut: 16/03/2026
HS 15%: 6 heures
HS 50%: 2 heures
HS 75%: 8 heures</t>
  </si>
  <si>
    <t>Tall Idrissa
Manutentionnaire
Contrat journalier  - 40h/sem
Date debut: 16/03/2026
HS 15%: 6 heures
HS 50%: 2 heures</t>
  </si>
  <si>
    <t>Irié Bi Irié Odilon
Manutentionnaire
Contrat journalier  - 40h/sem
Date debut: 16/03/2026</t>
  </si>
  <si>
    <t>Ouattara Soumaila
Manutentionnaire
Contrat journalier  - 40h/sem
Date debut: 16/03/2026
HS 75%: 8 heures</t>
  </si>
  <si>
    <t>Dje Bi Boli Constantin
Manutentionnaire
Contrat journalier  - 40h/sem
Date debut: 16/03/2026
HS 15%: 6 heures
HS 50%: 2 heures</t>
  </si>
  <si>
    <t>Diallo Boubacary
Manutentionnaire
Contrat journalier  - 40h/sem
Date debut: 16/03/2026
HS 15%: 6 heures
HS 50%: 2 heures</t>
  </si>
  <si>
    <t>Tie bi Djean Ange
Operateur
Contrat journalier  - 40h/sem
Date debut: 16/03/2026
HS 75%: 8 heures</t>
  </si>
  <si>
    <t>Kienou Siriki
Manutentionnaire
Contrat journalier  - 40h/sem
Date debut: 16/03/2026</t>
  </si>
  <si>
    <t>Kouame Emmanuel Sylvestre
Manutentionnaire
Contrat journalier  - 40h/sem
Date debut: 16/03/2026</t>
  </si>
  <si>
    <t>Boukari Bouba
Manutentionnaire
Contrat journalier  - 40h/sem
Date debut: 16/03/2026</t>
  </si>
  <si>
    <t>Kouassi kouakou emmanuel
Manutentionnaire
Contrat journalier  - 40h/sem
Date debut: 16/03/2026</t>
  </si>
  <si>
    <t>Montant HT :</t>
  </si>
  <si>
    <t>TVA :</t>
  </si>
  <si>
    <t>Total TTC :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</si>
  <si>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</si>
  <si>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</si>
  <si>
    <t>Toumodi Autoroute du Nord, PK 189</t>
  </si>
  <si>
    <t>Condition de paiement : 15 jours</t>
  </si>
  <si>
    <t>24-330-S0106 / 557</t>
  </si>
  <si>
    <t>30 BP 524 Abidjan 30, Toumodi, Côte d'Ivoire</t>
  </si>
  <si>
    <t>Kouassi Aya Andréa Fabienne
Agent de sécurité
Contrat journalier  - 40h/sem
Date debut: 07/04/2026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</si>
</sst>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charset val="1"/>
    </font>
    <font>
      <b/>
      <sz val="11"/>
      <color rgb="FFFF6600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rgb="FF19752A"/>
      <name val="Calibri"/>
      <family val="2"/>
      <charset val="1"/>
    </font>
    <font>
      <b/>
      <sz val="12"/>
      <name val="Calibri"/>
      <charset val="1"/>
    </font>
    <font>
      <b/>
      <sz val="24"/>
      <color rgb="FFFF6600"/>
      <name val="Calibri"/>
      <family val="2"/>
      <charset val="1"/>
    </font>
    <font>
      <i/>
      <sz val="18"/>
      <color theme="1"/>
      <name val="Calibri"/>
      <family val="2"/>
      <charset val="1"/>
    </font>
    <font>
      <b/>
      <sz val="16"/>
      <name val="Calibri"/>
      <family val="2"/>
    </font>
    <font>
      <b/>
      <sz val="14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9" tint="0.7999816888943144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3" fontId="2" fillId="5" borderId="0" xfId="0" applyNumberFormat="1" applyFont="1" applyFill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3" fontId="6" fillId="5" borderId="0" xfId="0" applyNumberFormat="1" applyFont="1" applyFill="1" applyAlignment="1">
      <alignment horizontal="right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right"/>
    </xf>
    <xf numFmtId="4" fontId="0" fillId="0" borderId="0" xfId="0" applyNumberFormat="1" applyBorder="1" applyAlignment="1">
      <alignment horizontal="right"/>
    </xf>
    <xf numFmtId="0" fontId="0" fillId="0" borderId="1" xfId="0" applyBorder="1"/>
    <xf numFmtId="0" fontId="2" fillId="6" borderId="1" xfId="0" applyFont="1" applyFill="1" applyBorder="1" applyAlignment="1">
      <alignment horizontal="left" vertical="center" wrapText="1"/>
    </xf>
    <xf numFmtId="3" fontId="0" fillId="6" borderId="1" xfId="0" applyNumberForma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7" fillId="0" borderId="0" xfId="0" applyFont="1"/>
    <xf numFmtId="0" fontId="8" fillId="0" borderId="0" xfId="0" applyFont="1" applyBorder="1"/>
    <xf numFmtId="0" fontId="9" fillId="0" borderId="0" xfId="0" applyFont="1"/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19752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0</xdr:colOff>
      <xdr:row>5</xdr:row>
      <xdr:rowOff>40059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BBB8AD1-9B31-B7ED-FF13-06E0F94DF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2914649" cy="1249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0"/>
  <sheetViews>
    <sheetView showGridLines="0" tabSelected="1" topLeftCell="A5" zoomScaleNormal="100" workbookViewId="0">
      <selection activeCell="Q39" sqref="Q39"/>
    </sheetView>
  </sheetViews>
  <sheetFormatPr baseColWidth="10" defaultColWidth="8.7109375" defaultRowHeight="15" x14ac:dyDescent="0.25"/>
  <cols>
    <col min="1" max="1" width="38" customWidth="1"/>
    <col min="2" max="2" width="5.7109375" customWidth="1"/>
    <col min="3" max="3" width="12.42578125" customWidth="1"/>
    <col min="4" max="7" width="9" customWidth="1"/>
    <col min="8" max="8" width="7.7109375" customWidth="1"/>
    <col min="9" max="11" width="11.140625" customWidth="1"/>
  </cols>
  <sheetData>
    <row r="1" spans="1:8" ht="65.25" customHeight="1" x14ac:dyDescent="0.25">
      <c r="C1" s="37" t="s">
        <v>0</v>
      </c>
      <c r="D1" s="37"/>
      <c r="E1" s="37"/>
      <c r="F1" s="37"/>
      <c r="G1" s="38"/>
    </row>
    <row r="2" spans="1:8" ht="13.5" hidden="1" customHeight="1" x14ac:dyDescent="0.25">
      <c r="C2" s="38"/>
      <c r="D2" s="38"/>
      <c r="E2" s="38"/>
      <c r="F2" s="38"/>
      <c r="G2" s="38"/>
    </row>
    <row r="3" spans="1:8" ht="18" hidden="1" customHeight="1" x14ac:dyDescent="0.25">
      <c r="C3" s="38"/>
      <c r="D3" s="38"/>
      <c r="E3" s="38"/>
      <c r="F3" s="38"/>
      <c r="G3" s="38"/>
    </row>
    <row r="5" spans="1:8" x14ac:dyDescent="0.25">
      <c r="G5" s="8" t="s">
        <v>1</v>
      </c>
      <c r="H5" s="33" t="s">
        <v>2</v>
      </c>
    </row>
    <row r="6" spans="1:8" ht="15" customHeight="1" x14ac:dyDescent="0.25">
      <c r="E6" s="9"/>
      <c r="F6" s="10"/>
      <c r="G6" s="8" t="s">
        <v>3</v>
      </c>
      <c r="H6" s="33" t="s">
        <v>4</v>
      </c>
    </row>
    <row r="7" spans="1:8" x14ac:dyDescent="0.25">
      <c r="E7" s="9"/>
      <c r="F7" s="10"/>
      <c r="G7" s="8" t="s">
        <v>5</v>
      </c>
      <c r="H7" s="33" t="s">
        <v>82</v>
      </c>
    </row>
    <row r="8" spans="1:8" ht="15.75" customHeight="1" x14ac:dyDescent="0.25">
      <c r="E8" s="9"/>
      <c r="F8" s="10"/>
      <c r="H8" t="s">
        <v>85</v>
      </c>
    </row>
    <row r="9" spans="1:8" ht="21" x14ac:dyDescent="0.35">
      <c r="A9" s="36" t="s">
        <v>6</v>
      </c>
      <c r="G9" s="11" t="s">
        <v>7</v>
      </c>
      <c r="H9" t="s">
        <v>8</v>
      </c>
    </row>
    <row r="10" spans="1:8" ht="31.5" x14ac:dyDescent="0.5">
      <c r="A10" s="34" t="s">
        <v>84</v>
      </c>
      <c r="B10" s="10"/>
    </row>
    <row r="11" spans="1:8" x14ac:dyDescent="0.25">
      <c r="A11" s="11" t="s">
        <v>9</v>
      </c>
    </row>
    <row r="12" spans="1:8" x14ac:dyDescent="0.25">
      <c r="A12" s="23"/>
      <c r="C12" s="23"/>
      <c r="D12" s="23"/>
      <c r="E12" s="23"/>
      <c r="F12" s="23"/>
      <c r="G12" s="23"/>
    </row>
    <row r="13" spans="1:8" ht="30" x14ac:dyDescent="0.35">
      <c r="A13" s="35" t="s">
        <v>16</v>
      </c>
      <c r="C13" s="28"/>
      <c r="D13" s="12" t="s">
        <v>10</v>
      </c>
      <c r="E13" s="12" t="s">
        <v>11</v>
      </c>
      <c r="F13" s="12" t="s">
        <v>12</v>
      </c>
      <c r="G13" s="12" t="s">
        <v>13</v>
      </c>
    </row>
    <row r="14" spans="1:8" x14ac:dyDescent="0.25">
      <c r="A14" s="24"/>
      <c r="C14" s="29" t="s">
        <v>14</v>
      </c>
      <c r="D14" s="30">
        <v>816</v>
      </c>
      <c r="E14" s="30">
        <f>D14*1.15</f>
        <v>938.4</v>
      </c>
      <c r="F14" s="30">
        <f>D14*1.5</f>
        <v>1224</v>
      </c>
      <c r="G14" s="30">
        <f>D14*1.75</f>
        <v>1428</v>
      </c>
    </row>
    <row r="15" spans="1:8" ht="22.5" customHeight="1" x14ac:dyDescent="0.25">
      <c r="A15" s="25"/>
      <c r="C15" s="31" t="s">
        <v>15</v>
      </c>
      <c r="D15" s="32">
        <v>921</v>
      </c>
      <c r="E15" s="32">
        <f>D15*1.15</f>
        <v>1059.1499999999999</v>
      </c>
      <c r="F15" s="32">
        <f>D15*1.5</f>
        <v>1381.5</v>
      </c>
      <c r="G15" s="32">
        <f>D15*1.75</f>
        <v>1611.75</v>
      </c>
    </row>
    <row r="16" spans="1:8" ht="11.25" customHeight="1" x14ac:dyDescent="0.25">
      <c r="A16" s="25"/>
      <c r="C16" s="26"/>
      <c r="D16" s="27"/>
      <c r="E16" s="27"/>
      <c r="F16" s="26"/>
      <c r="G16" s="27"/>
    </row>
    <row r="17" spans="1:11" ht="34.5" customHeight="1" x14ac:dyDescent="0.25">
      <c r="A17" s="7" t="s">
        <v>17</v>
      </c>
      <c r="B17" s="7"/>
      <c r="C17" s="13" t="s">
        <v>18</v>
      </c>
      <c r="D17" s="14" t="s">
        <v>19</v>
      </c>
      <c r="E17" s="14" t="s">
        <v>11</v>
      </c>
      <c r="F17" s="13" t="s">
        <v>12</v>
      </c>
      <c r="G17" s="14" t="s">
        <v>13</v>
      </c>
      <c r="H17" s="13" t="s">
        <v>20</v>
      </c>
      <c r="I17" s="13" t="s">
        <v>21</v>
      </c>
      <c r="J17" s="13" t="s">
        <v>22</v>
      </c>
      <c r="K17" s="13" t="s">
        <v>23</v>
      </c>
    </row>
    <row r="18" spans="1:11" ht="54" customHeight="1" x14ac:dyDescent="0.25">
      <c r="A18" s="6" t="s">
        <v>24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ht="103.5" customHeight="1" x14ac:dyDescent="0.25">
      <c r="A19" s="5" t="s">
        <v>25</v>
      </c>
      <c r="B19" s="5"/>
      <c r="C19" s="15" t="s">
        <v>26</v>
      </c>
      <c r="D19" s="16">
        <f>H19-E19-F19-G19</f>
        <v>64</v>
      </c>
      <c r="E19" s="16">
        <v>6</v>
      </c>
      <c r="F19" s="16">
        <v>10</v>
      </c>
      <c r="G19" s="16">
        <v>8</v>
      </c>
      <c r="H19" s="16">
        <v>88</v>
      </c>
      <c r="I19" s="17">
        <f>IF(C19="Manut",D19*$D$14+E19*$E$14+F19*$F$14+G19*$G$14,D19*$D$15+E19*$E$15+F19*$F$15+G19*$G$15)</f>
        <v>81518.399999999994</v>
      </c>
      <c r="J19" s="17">
        <f>I19*0.18</f>
        <v>14673.311999999998</v>
      </c>
      <c r="K19" s="17">
        <f>I19+J19</f>
        <v>96191.712</v>
      </c>
    </row>
    <row r="20" spans="1:11" ht="103.5" customHeight="1" x14ac:dyDescent="0.25">
      <c r="A20" s="4" t="s">
        <v>27</v>
      </c>
      <c r="B20" s="4"/>
      <c r="C20" s="15" t="s">
        <v>15</v>
      </c>
      <c r="D20" s="16">
        <f>H20-E20-F20-G20</f>
        <v>56</v>
      </c>
      <c r="E20" s="16">
        <v>0</v>
      </c>
      <c r="F20" s="16">
        <v>0</v>
      </c>
      <c r="G20" s="16">
        <v>8</v>
      </c>
      <c r="H20" s="16">
        <v>64</v>
      </c>
      <c r="I20" s="17">
        <f>IF(C20="Manut",D20*$D$14+E20*$E$14+F20*$F$14+G20*$G$14,D20*$D$15+E20*$E$15+F20*$F$15+G20*$G$15)</f>
        <v>64470</v>
      </c>
      <c r="J20" s="17">
        <f>I20*0.18</f>
        <v>11604.6</v>
      </c>
      <c r="K20" s="17">
        <f>I20+J20</f>
        <v>76074.600000000006</v>
      </c>
    </row>
    <row r="21" spans="1:11" ht="103.5" customHeight="1" x14ac:dyDescent="0.25">
      <c r="A21" s="4" t="s">
        <v>28</v>
      </c>
      <c r="B21" s="4"/>
      <c r="C21" s="15" t="s">
        <v>26</v>
      </c>
      <c r="D21" s="16">
        <f>H21-E21-F21-G21</f>
        <v>56</v>
      </c>
      <c r="E21" s="16">
        <v>0</v>
      </c>
      <c r="F21" s="16">
        <v>0</v>
      </c>
      <c r="G21" s="16">
        <v>8</v>
      </c>
      <c r="H21" s="16">
        <v>64</v>
      </c>
      <c r="I21" s="17">
        <f>IF(C21="Manut",D21*$D$14+E21*$E$14+F21*$F$14+G21*$G$14,D21*$D$15+E21*$E$15+F21*$F$15+G21*$G$15)</f>
        <v>57120</v>
      </c>
      <c r="J21" s="17">
        <f>I21*0.18</f>
        <v>10281.6</v>
      </c>
      <c r="K21" s="17">
        <f>I21+J21</f>
        <v>67401.600000000006</v>
      </c>
    </row>
    <row r="22" spans="1:11" ht="103.5" customHeight="1" x14ac:dyDescent="0.25">
      <c r="A22" s="4" t="s">
        <v>29</v>
      </c>
      <c r="B22" s="4"/>
      <c r="C22" s="15" t="s">
        <v>26</v>
      </c>
      <c r="D22" s="16">
        <f>H22-E22-F22-G22</f>
        <v>64</v>
      </c>
      <c r="E22" s="16">
        <v>0</v>
      </c>
      <c r="F22" s="16">
        <v>0</v>
      </c>
      <c r="G22" s="16">
        <v>8</v>
      </c>
      <c r="H22" s="16">
        <v>72</v>
      </c>
      <c r="I22" s="17">
        <f>IF(C22="Manut",D22*$D$14+E22*$E$14+F22*$F$14+G22*$G$14,D22*$D$15+E22*$E$15+F22*$F$15+G22*$G$15)</f>
        <v>63648</v>
      </c>
      <c r="J22" s="17">
        <f>I22*0.18</f>
        <v>11456.64</v>
      </c>
      <c r="K22" s="17">
        <f>I22+J22</f>
        <v>75104.639999999999</v>
      </c>
    </row>
    <row r="23" spans="1:11" ht="103.5" customHeight="1" x14ac:dyDescent="0.25">
      <c r="A23" s="4" t="s">
        <v>30</v>
      </c>
      <c r="B23" s="4"/>
      <c r="C23" s="15" t="s">
        <v>26</v>
      </c>
      <c r="D23" s="16">
        <f>H23-E23-F23-G23</f>
        <v>56</v>
      </c>
      <c r="E23" s="16">
        <v>0</v>
      </c>
      <c r="F23" s="16">
        <v>0</v>
      </c>
      <c r="G23" s="16">
        <v>8</v>
      </c>
      <c r="H23" s="16">
        <v>64</v>
      </c>
      <c r="I23" s="17">
        <f>IF(C23="Manut",D23*$D$14+E23*$E$14+F23*$F$14+G23*$G$14,D23*$D$15+E23*$E$15+F23*$F$15+G23*$G$15)</f>
        <v>57120</v>
      </c>
      <c r="J23" s="17">
        <f>I23*0.18</f>
        <v>10281.6</v>
      </c>
      <c r="K23" s="17">
        <f>I23+J23</f>
        <v>67401.600000000006</v>
      </c>
    </row>
    <row r="24" spans="1:11" ht="55.5" customHeight="1" x14ac:dyDescent="0.25">
      <c r="A24" s="6" t="s">
        <v>31</v>
      </c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ht="110.25" customHeight="1" x14ac:dyDescent="0.25">
      <c r="A25" s="5" t="s">
        <v>32</v>
      </c>
      <c r="B25" s="5"/>
      <c r="C25" s="15" t="s">
        <v>15</v>
      </c>
      <c r="D25" s="16">
        <f>H25-E25-F25-G25</f>
        <v>72</v>
      </c>
      <c r="E25" s="16">
        <v>12</v>
      </c>
      <c r="F25" s="16">
        <v>4</v>
      </c>
      <c r="G25" s="16">
        <v>8</v>
      </c>
      <c r="H25" s="16">
        <v>96</v>
      </c>
      <c r="I25" s="17">
        <f>IF(C25="Manut",D25*$D$14+E25*$E$14+F25*$F$14+G25*$G$14,D25*$D$15+E25*$E$15+F25*$F$15+G25*$G$15)</f>
        <v>97441.8</v>
      </c>
      <c r="J25" s="17">
        <f>I25*0.18</f>
        <v>17539.524000000001</v>
      </c>
      <c r="K25" s="17">
        <f>I25+J25</f>
        <v>114981.32400000001</v>
      </c>
    </row>
    <row r="26" spans="1:11" ht="110.25" customHeight="1" x14ac:dyDescent="0.25">
      <c r="A26" s="4" t="s">
        <v>33</v>
      </c>
      <c r="B26" s="4"/>
      <c r="C26" s="15" t="s">
        <v>15</v>
      </c>
      <c r="D26" s="16">
        <f>H26-E26-F26-G26</f>
        <v>72</v>
      </c>
      <c r="E26" s="16">
        <v>0</v>
      </c>
      <c r="F26" s="16">
        <v>0</v>
      </c>
      <c r="G26" s="16">
        <v>8</v>
      </c>
      <c r="H26" s="16">
        <v>80</v>
      </c>
      <c r="I26" s="17">
        <f>IF(C26="Manut",D26*$D$14+E26*$E$14+F26*$F$14+G26*$G$14,D26*$D$15+E26*$E$15+F26*$F$15+G26*$G$15)</f>
        <v>79206</v>
      </c>
      <c r="J26" s="17">
        <f>I26*0.18</f>
        <v>14257.08</v>
      </c>
      <c r="K26" s="17">
        <f>I26+J26</f>
        <v>93463.08</v>
      </c>
    </row>
    <row r="27" spans="1:11" ht="110.25" customHeight="1" x14ac:dyDescent="0.25">
      <c r="A27" s="5" t="s">
        <v>34</v>
      </c>
      <c r="B27" s="5"/>
      <c r="C27" s="15" t="s">
        <v>26</v>
      </c>
      <c r="D27" s="16">
        <f>H27-E27-F27-G27</f>
        <v>72</v>
      </c>
      <c r="E27" s="16">
        <v>0</v>
      </c>
      <c r="F27" s="16">
        <v>0</v>
      </c>
      <c r="G27" s="16">
        <v>8</v>
      </c>
      <c r="H27" s="16">
        <v>80</v>
      </c>
      <c r="I27" s="17">
        <f>IF(C27="Manut",D27*$D$14+E27*$E$14+F27*$F$14+G27*$G$14,D27*$D$15+E27*$E$15+F27*$F$15+G27*$G$15)</f>
        <v>70176</v>
      </c>
      <c r="J27" s="17">
        <f>I27*0.18</f>
        <v>12631.68</v>
      </c>
      <c r="K27" s="17">
        <f>I27+J27</f>
        <v>82807.679999999993</v>
      </c>
    </row>
    <row r="28" spans="1:11" ht="110.25" customHeight="1" x14ac:dyDescent="0.25">
      <c r="A28" s="4" t="s">
        <v>35</v>
      </c>
      <c r="B28" s="4"/>
      <c r="C28" s="15" t="s">
        <v>26</v>
      </c>
      <c r="D28" s="16">
        <f>H28-E28-F28-G28</f>
        <v>56</v>
      </c>
      <c r="E28" s="16">
        <v>0</v>
      </c>
      <c r="F28" s="16">
        <v>0</v>
      </c>
      <c r="G28" s="16">
        <v>8</v>
      </c>
      <c r="H28" s="16">
        <v>64</v>
      </c>
      <c r="I28" s="17">
        <f>IF(C28="Manut",D28*$D$14+E28*$E$14+F28*$F$14+G28*$G$14,D28*$D$15+E28*$E$15+F28*$F$15+G28*$G$15)</f>
        <v>57120</v>
      </c>
      <c r="J28" s="17">
        <f>I28*0.18</f>
        <v>10281.6</v>
      </c>
      <c r="K28" s="17">
        <f>I28+J28</f>
        <v>67401.600000000006</v>
      </c>
    </row>
    <row r="29" spans="1:11" ht="110.25" customHeight="1" x14ac:dyDescent="0.25">
      <c r="A29" s="4" t="s">
        <v>36</v>
      </c>
      <c r="B29" s="4"/>
      <c r="C29" s="15" t="s">
        <v>26</v>
      </c>
      <c r="D29" s="16">
        <f>H29-E29-F29-G29</f>
        <v>72</v>
      </c>
      <c r="E29" s="16">
        <v>6</v>
      </c>
      <c r="F29" s="16">
        <v>2</v>
      </c>
      <c r="G29" s="16">
        <v>8</v>
      </c>
      <c r="H29" s="16">
        <v>88</v>
      </c>
      <c r="I29" s="17">
        <f>IF(C29="Manut",D29*$D$14+E29*$E$14+F29*$F$14+G29*$G$14,D29*$D$15+E29*$E$15+F29*$F$15+G29*$G$15)</f>
        <v>78254.399999999994</v>
      </c>
      <c r="J29" s="17">
        <f>I29*0.18</f>
        <v>14085.791999999998</v>
      </c>
      <c r="K29" s="17">
        <f>I29+J29</f>
        <v>92340.191999999995</v>
      </c>
    </row>
    <row r="30" spans="1:11" ht="62.25" customHeight="1" x14ac:dyDescent="0.25">
      <c r="A30" s="6" t="s">
        <v>37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93" customHeight="1" x14ac:dyDescent="0.25">
      <c r="A31" s="4" t="s">
        <v>86</v>
      </c>
      <c r="B31" s="4"/>
      <c r="C31" s="15" t="s">
        <v>26</v>
      </c>
      <c r="D31" s="16">
        <v>48</v>
      </c>
      <c r="E31" s="16">
        <v>0</v>
      </c>
      <c r="F31" s="16">
        <v>0</v>
      </c>
      <c r="G31" s="16">
        <v>0</v>
      </c>
      <c r="H31" s="16">
        <v>48</v>
      </c>
      <c r="I31" s="17">
        <f>IF(C31="Manut",D31*$D$14+E31*$E$14+F31*$F$14+G31*$G$14,D31*$D$15+E31*$E$15+F31*$F$15+G31*$G$15)</f>
        <v>39168</v>
      </c>
      <c r="J31" s="17">
        <f>I31*0.18</f>
        <v>7050.24</v>
      </c>
      <c r="K31" s="17">
        <f>I31+J31</f>
        <v>46218.239999999998</v>
      </c>
    </row>
    <row r="32" spans="1:11" ht="57.75" customHeight="1" x14ac:dyDescent="0.25">
      <c r="A32" s="6" t="s">
        <v>38</v>
      </c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07.25" customHeight="1" x14ac:dyDescent="0.25">
      <c r="A33" s="4" t="s">
        <v>39</v>
      </c>
      <c r="B33" s="4"/>
      <c r="C33" s="15" t="s">
        <v>26</v>
      </c>
      <c r="D33" s="16">
        <f t="shared" ref="D33:D70" si="0">H33-E33-F33-G33</f>
        <v>56</v>
      </c>
      <c r="E33" s="16">
        <v>0</v>
      </c>
      <c r="F33" s="16">
        <v>0</v>
      </c>
      <c r="G33" s="16">
        <v>0</v>
      </c>
      <c r="H33" s="16">
        <v>56</v>
      </c>
      <c r="I33" s="17">
        <f t="shared" ref="I33:I70" si="1">IF(C33="Manut",D33*$D$14+E33*$E$14+F33*$F$14+G33*$G$14,D33*$D$15+E33*$E$15+F33*$F$15+G33*$G$15)</f>
        <v>45696</v>
      </c>
      <c r="J33" s="17">
        <f t="shared" ref="J33:J70" si="2">I33*0.18</f>
        <v>8225.2799999999988</v>
      </c>
      <c r="K33" s="17">
        <f t="shared" ref="K33:K70" si="3">I33+J33</f>
        <v>53921.279999999999</v>
      </c>
    </row>
    <row r="34" spans="1:11" ht="107.25" customHeight="1" x14ac:dyDescent="0.25">
      <c r="A34" s="4" t="s">
        <v>40</v>
      </c>
      <c r="B34" s="4"/>
      <c r="C34" s="15" t="s">
        <v>26</v>
      </c>
      <c r="D34" s="16">
        <f t="shared" si="0"/>
        <v>64</v>
      </c>
      <c r="E34" s="16">
        <v>0</v>
      </c>
      <c r="F34" s="16">
        <v>0</v>
      </c>
      <c r="G34" s="16">
        <v>8</v>
      </c>
      <c r="H34" s="16">
        <v>72</v>
      </c>
      <c r="I34" s="17">
        <f t="shared" si="1"/>
        <v>63648</v>
      </c>
      <c r="J34" s="17">
        <f t="shared" si="2"/>
        <v>11456.64</v>
      </c>
      <c r="K34" s="17">
        <f t="shared" si="3"/>
        <v>75104.639999999999</v>
      </c>
    </row>
    <row r="35" spans="1:11" ht="107.25" customHeight="1" x14ac:dyDescent="0.25">
      <c r="A35" s="4" t="s">
        <v>41</v>
      </c>
      <c r="B35" s="4"/>
      <c r="C35" s="15" t="s">
        <v>26</v>
      </c>
      <c r="D35" s="16">
        <f t="shared" si="0"/>
        <v>64</v>
      </c>
      <c r="E35" s="16">
        <v>6</v>
      </c>
      <c r="F35" s="16">
        <v>2</v>
      </c>
      <c r="G35" s="16">
        <v>8</v>
      </c>
      <c r="H35" s="16">
        <v>80</v>
      </c>
      <c r="I35" s="17">
        <f t="shared" si="1"/>
        <v>71726.399999999994</v>
      </c>
      <c r="J35" s="17">
        <f t="shared" si="2"/>
        <v>12910.751999999999</v>
      </c>
      <c r="K35" s="17">
        <f t="shared" si="3"/>
        <v>84637.151999999987</v>
      </c>
    </row>
    <row r="36" spans="1:11" ht="107.25" customHeight="1" x14ac:dyDescent="0.25">
      <c r="A36" s="4" t="s">
        <v>42</v>
      </c>
      <c r="B36" s="4"/>
      <c r="C36" s="15" t="s">
        <v>26</v>
      </c>
      <c r="D36" s="16">
        <f t="shared" si="0"/>
        <v>72</v>
      </c>
      <c r="E36" s="16">
        <v>6</v>
      </c>
      <c r="F36" s="16">
        <v>2</v>
      </c>
      <c r="G36" s="16">
        <v>0</v>
      </c>
      <c r="H36" s="16">
        <v>80</v>
      </c>
      <c r="I36" s="17">
        <f t="shared" si="1"/>
        <v>66830.399999999994</v>
      </c>
      <c r="J36" s="17">
        <f t="shared" si="2"/>
        <v>12029.471999999998</v>
      </c>
      <c r="K36" s="17">
        <f t="shared" si="3"/>
        <v>78859.871999999988</v>
      </c>
    </row>
    <row r="37" spans="1:11" ht="107.25" customHeight="1" x14ac:dyDescent="0.25">
      <c r="A37" s="4" t="s">
        <v>43</v>
      </c>
      <c r="B37" s="4"/>
      <c r="C37" s="15" t="s">
        <v>26</v>
      </c>
      <c r="D37" s="16">
        <f t="shared" si="0"/>
        <v>16</v>
      </c>
      <c r="E37" s="16">
        <v>0</v>
      </c>
      <c r="F37" s="16">
        <v>0</v>
      </c>
      <c r="G37" s="16">
        <v>0</v>
      </c>
      <c r="H37" s="16">
        <v>16</v>
      </c>
      <c r="I37" s="17">
        <f t="shared" si="1"/>
        <v>13056</v>
      </c>
      <c r="J37" s="17">
        <f t="shared" si="2"/>
        <v>2350.08</v>
      </c>
      <c r="K37" s="17">
        <f t="shared" si="3"/>
        <v>15406.08</v>
      </c>
    </row>
    <row r="38" spans="1:11" ht="107.25" customHeight="1" x14ac:dyDescent="0.25">
      <c r="A38" s="4" t="s">
        <v>44</v>
      </c>
      <c r="B38" s="4"/>
      <c r="C38" s="15" t="s">
        <v>26</v>
      </c>
      <c r="D38" s="16">
        <f t="shared" si="0"/>
        <v>72</v>
      </c>
      <c r="E38" s="16">
        <v>6</v>
      </c>
      <c r="F38" s="16">
        <v>2</v>
      </c>
      <c r="G38" s="16">
        <v>0</v>
      </c>
      <c r="H38" s="16">
        <v>80</v>
      </c>
      <c r="I38" s="17">
        <f t="shared" si="1"/>
        <v>66830.399999999994</v>
      </c>
      <c r="J38" s="17">
        <f t="shared" si="2"/>
        <v>12029.471999999998</v>
      </c>
      <c r="K38" s="17">
        <f t="shared" si="3"/>
        <v>78859.871999999988</v>
      </c>
    </row>
    <row r="39" spans="1:11" ht="107.25" customHeight="1" x14ac:dyDescent="0.25">
      <c r="A39" s="4" t="s">
        <v>45</v>
      </c>
      <c r="B39" s="4"/>
      <c r="C39" s="15" t="s">
        <v>26</v>
      </c>
      <c r="D39" s="16">
        <f t="shared" si="0"/>
        <v>72</v>
      </c>
      <c r="E39" s="16">
        <v>6</v>
      </c>
      <c r="F39" s="16">
        <v>2</v>
      </c>
      <c r="G39" s="16">
        <v>0</v>
      </c>
      <c r="H39" s="16">
        <v>80</v>
      </c>
      <c r="I39" s="17">
        <f t="shared" si="1"/>
        <v>66830.399999999994</v>
      </c>
      <c r="J39" s="17">
        <f t="shared" si="2"/>
        <v>12029.471999999998</v>
      </c>
      <c r="K39" s="17">
        <f t="shared" si="3"/>
        <v>78859.871999999988</v>
      </c>
    </row>
    <row r="40" spans="1:11" ht="107.25" customHeight="1" x14ac:dyDescent="0.25">
      <c r="A40" s="4" t="s">
        <v>46</v>
      </c>
      <c r="B40" s="4"/>
      <c r="C40" s="15" t="s">
        <v>26</v>
      </c>
      <c r="D40" s="16">
        <f t="shared" si="0"/>
        <v>48</v>
      </c>
      <c r="E40" s="16">
        <v>6</v>
      </c>
      <c r="F40" s="16">
        <v>10</v>
      </c>
      <c r="G40" s="16">
        <v>0</v>
      </c>
      <c r="H40" s="16">
        <v>64</v>
      </c>
      <c r="I40" s="17">
        <f t="shared" si="1"/>
        <v>57038.400000000001</v>
      </c>
      <c r="J40" s="17">
        <f t="shared" si="2"/>
        <v>10266.912</v>
      </c>
      <c r="K40" s="17">
        <f t="shared" si="3"/>
        <v>67305.312000000005</v>
      </c>
    </row>
    <row r="41" spans="1:11" ht="107.25" customHeight="1" x14ac:dyDescent="0.25">
      <c r="A41" s="4" t="s">
        <v>47</v>
      </c>
      <c r="B41" s="4"/>
      <c r="C41" s="15" t="s">
        <v>15</v>
      </c>
      <c r="D41" s="16">
        <f t="shared" si="0"/>
        <v>72</v>
      </c>
      <c r="E41" s="16">
        <v>12</v>
      </c>
      <c r="F41" s="16">
        <v>4</v>
      </c>
      <c r="G41" s="16">
        <v>0</v>
      </c>
      <c r="H41" s="16">
        <v>88</v>
      </c>
      <c r="I41" s="17">
        <f t="shared" si="1"/>
        <v>84547.8</v>
      </c>
      <c r="J41" s="17">
        <f t="shared" si="2"/>
        <v>15218.603999999999</v>
      </c>
      <c r="K41" s="17">
        <f t="shared" si="3"/>
        <v>99766.40400000001</v>
      </c>
    </row>
    <row r="42" spans="1:11" ht="107.25" customHeight="1" x14ac:dyDescent="0.25">
      <c r="A42" s="4" t="s">
        <v>48</v>
      </c>
      <c r="B42" s="4"/>
      <c r="C42" s="15" t="s">
        <v>15</v>
      </c>
      <c r="D42" s="16">
        <f t="shared" si="0"/>
        <v>72</v>
      </c>
      <c r="E42" s="16">
        <v>6</v>
      </c>
      <c r="F42" s="16">
        <v>2</v>
      </c>
      <c r="G42" s="16">
        <v>0</v>
      </c>
      <c r="H42" s="16">
        <v>80</v>
      </c>
      <c r="I42" s="17">
        <f t="shared" si="1"/>
        <v>75429.899999999994</v>
      </c>
      <c r="J42" s="17">
        <f t="shared" si="2"/>
        <v>13577.381999999998</v>
      </c>
      <c r="K42" s="17">
        <f t="shared" si="3"/>
        <v>89007.281999999992</v>
      </c>
    </row>
    <row r="43" spans="1:11" ht="107.25" customHeight="1" x14ac:dyDescent="0.25">
      <c r="A43" s="4" t="s">
        <v>49</v>
      </c>
      <c r="B43" s="4"/>
      <c r="C43" s="15" t="s">
        <v>26</v>
      </c>
      <c r="D43" s="16">
        <f t="shared" si="0"/>
        <v>72</v>
      </c>
      <c r="E43" s="16">
        <v>12</v>
      </c>
      <c r="F43" s="16">
        <v>4</v>
      </c>
      <c r="G43" s="16">
        <v>0</v>
      </c>
      <c r="H43" s="16">
        <v>88</v>
      </c>
      <c r="I43" s="17">
        <f t="shared" si="1"/>
        <v>74908.800000000003</v>
      </c>
      <c r="J43" s="17">
        <f t="shared" si="2"/>
        <v>13483.584000000001</v>
      </c>
      <c r="K43" s="17">
        <f t="shared" si="3"/>
        <v>88392.384000000005</v>
      </c>
    </row>
    <row r="44" spans="1:11" ht="107.25" customHeight="1" x14ac:dyDescent="0.25">
      <c r="A44" s="4" t="s">
        <v>50</v>
      </c>
      <c r="B44" s="4"/>
      <c r="C44" s="15" t="s">
        <v>26</v>
      </c>
      <c r="D44" s="16">
        <f t="shared" si="0"/>
        <v>64</v>
      </c>
      <c r="E44" s="16">
        <v>6</v>
      </c>
      <c r="F44" s="16">
        <v>2</v>
      </c>
      <c r="G44" s="16">
        <v>8</v>
      </c>
      <c r="H44" s="16">
        <v>80</v>
      </c>
      <c r="I44" s="17">
        <f t="shared" si="1"/>
        <v>71726.399999999994</v>
      </c>
      <c r="J44" s="17">
        <f t="shared" si="2"/>
        <v>12910.751999999999</v>
      </c>
      <c r="K44" s="17">
        <f t="shared" si="3"/>
        <v>84637.151999999987</v>
      </c>
    </row>
    <row r="45" spans="1:11" ht="107.25" customHeight="1" x14ac:dyDescent="0.25">
      <c r="A45" s="4" t="s">
        <v>51</v>
      </c>
      <c r="B45" s="4"/>
      <c r="C45" s="15" t="s">
        <v>26</v>
      </c>
      <c r="D45" s="16">
        <f t="shared" si="0"/>
        <v>64</v>
      </c>
      <c r="E45" s="16">
        <v>0</v>
      </c>
      <c r="F45" s="16">
        <v>0</v>
      </c>
      <c r="G45" s="16">
        <v>8</v>
      </c>
      <c r="H45" s="16">
        <v>72</v>
      </c>
      <c r="I45" s="17">
        <f t="shared" si="1"/>
        <v>63648</v>
      </c>
      <c r="J45" s="17">
        <f t="shared" si="2"/>
        <v>11456.64</v>
      </c>
      <c r="K45" s="17">
        <f t="shared" si="3"/>
        <v>75104.639999999999</v>
      </c>
    </row>
    <row r="46" spans="1:11" ht="107.25" customHeight="1" x14ac:dyDescent="0.25">
      <c r="A46" s="4" t="s">
        <v>52</v>
      </c>
      <c r="B46" s="4"/>
      <c r="C46" s="15" t="s">
        <v>26</v>
      </c>
      <c r="D46" s="16">
        <f t="shared" si="0"/>
        <v>56</v>
      </c>
      <c r="E46" s="16">
        <v>6</v>
      </c>
      <c r="F46" s="16">
        <v>2</v>
      </c>
      <c r="G46" s="16">
        <v>8</v>
      </c>
      <c r="H46" s="16">
        <v>72</v>
      </c>
      <c r="I46" s="17">
        <f t="shared" si="1"/>
        <v>65198.400000000001</v>
      </c>
      <c r="J46" s="17">
        <f t="shared" si="2"/>
        <v>11735.712</v>
      </c>
      <c r="K46" s="17">
        <f t="shared" si="3"/>
        <v>76934.111999999994</v>
      </c>
    </row>
    <row r="47" spans="1:11" ht="107.25" customHeight="1" x14ac:dyDescent="0.25">
      <c r="A47" s="4" t="s">
        <v>53</v>
      </c>
      <c r="B47" s="4"/>
      <c r="C47" s="15" t="s">
        <v>26</v>
      </c>
      <c r="D47" s="16">
        <f t="shared" si="0"/>
        <v>56</v>
      </c>
      <c r="E47" s="16">
        <v>6</v>
      </c>
      <c r="F47" s="16">
        <v>2</v>
      </c>
      <c r="G47" s="16">
        <v>8</v>
      </c>
      <c r="H47" s="16">
        <v>72</v>
      </c>
      <c r="I47" s="17">
        <f t="shared" si="1"/>
        <v>65198.400000000001</v>
      </c>
      <c r="J47" s="17">
        <f t="shared" si="2"/>
        <v>11735.712</v>
      </c>
      <c r="K47" s="17">
        <f t="shared" si="3"/>
        <v>76934.111999999994</v>
      </c>
    </row>
    <row r="48" spans="1:11" ht="107.25" customHeight="1" x14ac:dyDescent="0.25">
      <c r="A48" s="4" t="s">
        <v>54</v>
      </c>
      <c r="B48" s="4"/>
      <c r="C48" s="15" t="s">
        <v>26</v>
      </c>
      <c r="D48" s="16">
        <f t="shared" si="0"/>
        <v>72</v>
      </c>
      <c r="E48" s="16">
        <v>12</v>
      </c>
      <c r="F48" s="16">
        <v>4</v>
      </c>
      <c r="G48" s="16">
        <v>0</v>
      </c>
      <c r="H48" s="16">
        <v>88</v>
      </c>
      <c r="I48" s="17">
        <f t="shared" si="1"/>
        <v>74908.800000000003</v>
      </c>
      <c r="J48" s="17">
        <f t="shared" si="2"/>
        <v>13483.584000000001</v>
      </c>
      <c r="K48" s="17">
        <f t="shared" si="3"/>
        <v>88392.384000000005</v>
      </c>
    </row>
    <row r="49" spans="1:11" ht="107.25" customHeight="1" x14ac:dyDescent="0.25">
      <c r="A49" s="4" t="s">
        <v>55</v>
      </c>
      <c r="B49" s="4"/>
      <c r="C49" s="15" t="s">
        <v>15</v>
      </c>
      <c r="D49" s="16">
        <f t="shared" si="0"/>
        <v>72</v>
      </c>
      <c r="E49" s="16">
        <v>12</v>
      </c>
      <c r="F49" s="16">
        <v>12</v>
      </c>
      <c r="G49" s="16">
        <v>8</v>
      </c>
      <c r="H49" s="16">
        <v>104</v>
      </c>
      <c r="I49" s="17">
        <f t="shared" si="1"/>
        <v>108493.8</v>
      </c>
      <c r="J49" s="17">
        <f t="shared" si="2"/>
        <v>19528.883999999998</v>
      </c>
      <c r="K49" s="17">
        <f t="shared" si="3"/>
        <v>128022.68400000001</v>
      </c>
    </row>
    <row r="50" spans="1:11" ht="107.25" customHeight="1" x14ac:dyDescent="0.25">
      <c r="A50" s="4" t="s">
        <v>56</v>
      </c>
      <c r="B50" s="4"/>
      <c r="C50" s="15" t="s">
        <v>15</v>
      </c>
      <c r="D50" s="16">
        <f t="shared" si="0"/>
        <v>72</v>
      </c>
      <c r="E50" s="16">
        <v>6</v>
      </c>
      <c r="F50" s="16">
        <v>2</v>
      </c>
      <c r="G50" s="16">
        <v>8</v>
      </c>
      <c r="H50" s="16">
        <v>88</v>
      </c>
      <c r="I50" s="17">
        <f t="shared" si="1"/>
        <v>88323.9</v>
      </c>
      <c r="J50" s="17">
        <f t="shared" si="2"/>
        <v>15898.301999999998</v>
      </c>
      <c r="K50" s="17">
        <f t="shared" si="3"/>
        <v>104222.20199999999</v>
      </c>
    </row>
    <row r="51" spans="1:11" ht="107.25" customHeight="1" x14ac:dyDescent="0.25">
      <c r="A51" s="4" t="s">
        <v>57</v>
      </c>
      <c r="B51" s="4"/>
      <c r="C51" s="15" t="s">
        <v>26</v>
      </c>
      <c r="D51" s="16">
        <f t="shared" si="0"/>
        <v>56</v>
      </c>
      <c r="E51" s="16">
        <v>0</v>
      </c>
      <c r="F51" s="16">
        <v>0</v>
      </c>
      <c r="G51" s="16">
        <v>8</v>
      </c>
      <c r="H51" s="16">
        <v>64</v>
      </c>
      <c r="I51" s="17">
        <f t="shared" si="1"/>
        <v>57120</v>
      </c>
      <c r="J51" s="17">
        <f t="shared" si="2"/>
        <v>10281.6</v>
      </c>
      <c r="K51" s="17">
        <f t="shared" si="3"/>
        <v>67401.600000000006</v>
      </c>
    </row>
    <row r="52" spans="1:11" ht="107.25" customHeight="1" x14ac:dyDescent="0.25">
      <c r="A52" s="4" t="s">
        <v>58</v>
      </c>
      <c r="B52" s="4"/>
      <c r="C52" s="15" t="s">
        <v>26</v>
      </c>
      <c r="D52" s="16">
        <f t="shared" si="0"/>
        <v>64</v>
      </c>
      <c r="E52" s="16">
        <v>6</v>
      </c>
      <c r="F52" s="16">
        <v>2</v>
      </c>
      <c r="G52" s="16">
        <v>0</v>
      </c>
      <c r="H52" s="16">
        <v>72</v>
      </c>
      <c r="I52" s="17">
        <f t="shared" si="1"/>
        <v>60302.400000000001</v>
      </c>
      <c r="J52" s="17">
        <f t="shared" si="2"/>
        <v>10854.432000000001</v>
      </c>
      <c r="K52" s="17">
        <f t="shared" si="3"/>
        <v>71156.831999999995</v>
      </c>
    </row>
    <row r="53" spans="1:11" ht="107.25" customHeight="1" x14ac:dyDescent="0.25">
      <c r="A53" s="4" t="s">
        <v>59</v>
      </c>
      <c r="B53" s="4"/>
      <c r="C53" s="15" t="s">
        <v>26</v>
      </c>
      <c r="D53" s="16">
        <f t="shared" si="0"/>
        <v>40</v>
      </c>
      <c r="E53" s="16">
        <v>0</v>
      </c>
      <c r="F53" s="16">
        <v>0</v>
      </c>
      <c r="G53" s="16">
        <v>0</v>
      </c>
      <c r="H53" s="16">
        <v>40</v>
      </c>
      <c r="I53" s="17">
        <f t="shared" si="1"/>
        <v>32640</v>
      </c>
      <c r="J53" s="17">
        <f t="shared" si="2"/>
        <v>5875.2</v>
      </c>
      <c r="K53" s="17">
        <f t="shared" si="3"/>
        <v>38515.199999999997</v>
      </c>
    </row>
    <row r="54" spans="1:11" ht="107.25" customHeight="1" x14ac:dyDescent="0.25">
      <c r="A54" s="4" t="s">
        <v>60</v>
      </c>
      <c r="B54" s="4"/>
      <c r="C54" s="15" t="s">
        <v>26</v>
      </c>
      <c r="D54" s="16">
        <f t="shared" si="0"/>
        <v>64</v>
      </c>
      <c r="E54" s="16">
        <v>6</v>
      </c>
      <c r="F54" s="16">
        <v>2</v>
      </c>
      <c r="G54" s="16">
        <v>8</v>
      </c>
      <c r="H54" s="16">
        <v>80</v>
      </c>
      <c r="I54" s="17">
        <f t="shared" si="1"/>
        <v>71726.399999999994</v>
      </c>
      <c r="J54" s="17">
        <f t="shared" si="2"/>
        <v>12910.751999999999</v>
      </c>
      <c r="K54" s="17">
        <f t="shared" si="3"/>
        <v>84637.151999999987</v>
      </c>
    </row>
    <row r="55" spans="1:11" ht="107.25" customHeight="1" x14ac:dyDescent="0.25">
      <c r="A55" s="4" t="s">
        <v>61</v>
      </c>
      <c r="B55" s="4"/>
      <c r="C55" s="15" t="s">
        <v>26</v>
      </c>
      <c r="D55" s="16">
        <f t="shared" si="0"/>
        <v>64</v>
      </c>
      <c r="E55" s="16">
        <v>0</v>
      </c>
      <c r="F55" s="16">
        <v>0</v>
      </c>
      <c r="G55" s="16">
        <v>8</v>
      </c>
      <c r="H55" s="16">
        <v>72</v>
      </c>
      <c r="I55" s="17">
        <f t="shared" si="1"/>
        <v>63648</v>
      </c>
      <c r="J55" s="17">
        <f t="shared" si="2"/>
        <v>11456.64</v>
      </c>
      <c r="K55" s="17">
        <f t="shared" si="3"/>
        <v>75104.639999999999</v>
      </c>
    </row>
    <row r="56" spans="1:11" ht="107.25" customHeight="1" x14ac:dyDescent="0.25">
      <c r="A56" s="4" t="s">
        <v>62</v>
      </c>
      <c r="B56" s="4"/>
      <c r="C56" s="15" t="s">
        <v>26</v>
      </c>
      <c r="D56" s="16">
        <f t="shared" si="0"/>
        <v>56</v>
      </c>
      <c r="E56" s="16">
        <v>0</v>
      </c>
      <c r="F56" s="16">
        <v>0</v>
      </c>
      <c r="G56" s="16">
        <v>0</v>
      </c>
      <c r="H56" s="16">
        <v>56</v>
      </c>
      <c r="I56" s="17">
        <f t="shared" si="1"/>
        <v>45696</v>
      </c>
      <c r="J56" s="17">
        <f t="shared" si="2"/>
        <v>8225.2799999999988</v>
      </c>
      <c r="K56" s="17">
        <f t="shared" si="3"/>
        <v>53921.279999999999</v>
      </c>
    </row>
    <row r="57" spans="1:11" ht="107.25" customHeight="1" x14ac:dyDescent="0.25">
      <c r="A57" s="4" t="s">
        <v>63</v>
      </c>
      <c r="B57" s="4"/>
      <c r="C57" s="15" t="s">
        <v>15</v>
      </c>
      <c r="D57" s="16">
        <f t="shared" si="0"/>
        <v>64</v>
      </c>
      <c r="E57" s="16">
        <v>0</v>
      </c>
      <c r="F57" s="16">
        <v>0</v>
      </c>
      <c r="G57" s="16">
        <v>0</v>
      </c>
      <c r="H57" s="16">
        <v>64</v>
      </c>
      <c r="I57" s="17">
        <f t="shared" si="1"/>
        <v>58944</v>
      </c>
      <c r="J57" s="17">
        <f t="shared" si="2"/>
        <v>10609.92</v>
      </c>
      <c r="K57" s="17">
        <f t="shared" si="3"/>
        <v>69553.919999999998</v>
      </c>
    </row>
    <row r="58" spans="1:11" ht="107.25" customHeight="1" x14ac:dyDescent="0.25">
      <c r="A58" s="4" t="s">
        <v>64</v>
      </c>
      <c r="B58" s="4"/>
      <c r="C58" s="15" t="s">
        <v>26</v>
      </c>
      <c r="D58" s="16">
        <f t="shared" si="0"/>
        <v>64</v>
      </c>
      <c r="E58" s="16">
        <v>0</v>
      </c>
      <c r="F58" s="16">
        <v>0</v>
      </c>
      <c r="G58" s="16">
        <v>8</v>
      </c>
      <c r="H58" s="16">
        <v>72</v>
      </c>
      <c r="I58" s="17">
        <f t="shared" si="1"/>
        <v>63648</v>
      </c>
      <c r="J58" s="17">
        <f t="shared" si="2"/>
        <v>11456.64</v>
      </c>
      <c r="K58" s="17">
        <f t="shared" si="3"/>
        <v>75104.639999999999</v>
      </c>
    </row>
    <row r="59" spans="1:11" ht="107.25" customHeight="1" x14ac:dyDescent="0.25">
      <c r="A59" s="4" t="s">
        <v>65</v>
      </c>
      <c r="B59" s="4"/>
      <c r="C59" s="15" t="s">
        <v>26</v>
      </c>
      <c r="D59" s="16">
        <f t="shared" si="0"/>
        <v>64</v>
      </c>
      <c r="E59" s="16">
        <v>6</v>
      </c>
      <c r="F59" s="16">
        <v>2</v>
      </c>
      <c r="G59" s="16">
        <v>0</v>
      </c>
      <c r="H59" s="16">
        <v>72</v>
      </c>
      <c r="I59" s="17">
        <f t="shared" si="1"/>
        <v>60302.400000000001</v>
      </c>
      <c r="J59" s="17">
        <f t="shared" si="2"/>
        <v>10854.432000000001</v>
      </c>
      <c r="K59" s="17">
        <f t="shared" si="3"/>
        <v>71156.831999999995</v>
      </c>
    </row>
    <row r="60" spans="1:11" ht="107.25" customHeight="1" x14ac:dyDescent="0.25">
      <c r="A60" s="4" t="s">
        <v>66</v>
      </c>
      <c r="B60" s="4"/>
      <c r="C60" s="15" t="s">
        <v>15</v>
      </c>
      <c r="D60" s="16">
        <f t="shared" si="0"/>
        <v>64</v>
      </c>
      <c r="E60" s="16">
        <v>6</v>
      </c>
      <c r="F60" s="16">
        <v>2</v>
      </c>
      <c r="G60" s="16">
        <v>8</v>
      </c>
      <c r="H60" s="16">
        <v>80</v>
      </c>
      <c r="I60" s="17">
        <f t="shared" si="1"/>
        <v>80955.899999999994</v>
      </c>
      <c r="J60" s="17">
        <f t="shared" si="2"/>
        <v>14572.061999999998</v>
      </c>
      <c r="K60" s="17">
        <f t="shared" si="3"/>
        <v>95527.962</v>
      </c>
    </row>
    <row r="61" spans="1:11" ht="107.25" customHeight="1" x14ac:dyDescent="0.25">
      <c r="A61" s="4" t="s">
        <v>67</v>
      </c>
      <c r="B61" s="4"/>
      <c r="C61" s="15" t="s">
        <v>26</v>
      </c>
      <c r="D61" s="16">
        <f t="shared" si="0"/>
        <v>32</v>
      </c>
      <c r="E61" s="16">
        <v>6</v>
      </c>
      <c r="F61" s="16">
        <v>2</v>
      </c>
      <c r="G61" s="16">
        <v>0</v>
      </c>
      <c r="H61" s="16">
        <v>40</v>
      </c>
      <c r="I61" s="17">
        <f t="shared" si="1"/>
        <v>34190.400000000001</v>
      </c>
      <c r="J61" s="17">
        <f t="shared" si="2"/>
        <v>6154.2719999999999</v>
      </c>
      <c r="K61" s="17">
        <f t="shared" si="3"/>
        <v>40344.671999999999</v>
      </c>
    </row>
    <row r="62" spans="1:11" ht="107.25" customHeight="1" x14ac:dyDescent="0.25">
      <c r="A62" s="4" t="s">
        <v>68</v>
      </c>
      <c r="B62" s="4"/>
      <c r="C62" s="15" t="s">
        <v>15</v>
      </c>
      <c r="D62" s="16">
        <f t="shared" si="0"/>
        <v>64</v>
      </c>
      <c r="E62" s="16">
        <v>0</v>
      </c>
      <c r="F62" s="16">
        <v>0</v>
      </c>
      <c r="G62" s="16">
        <v>0</v>
      </c>
      <c r="H62" s="16">
        <v>64</v>
      </c>
      <c r="I62" s="17">
        <f t="shared" si="1"/>
        <v>58944</v>
      </c>
      <c r="J62" s="17">
        <f t="shared" si="2"/>
        <v>10609.92</v>
      </c>
      <c r="K62" s="17">
        <f t="shared" si="3"/>
        <v>69553.919999999998</v>
      </c>
    </row>
    <row r="63" spans="1:11" ht="107.25" customHeight="1" x14ac:dyDescent="0.25">
      <c r="A63" s="4" t="s">
        <v>69</v>
      </c>
      <c r="B63" s="4"/>
      <c r="C63" s="15" t="s">
        <v>26</v>
      </c>
      <c r="D63" s="16">
        <f t="shared" si="0"/>
        <v>56</v>
      </c>
      <c r="E63" s="16">
        <v>0</v>
      </c>
      <c r="F63" s="16">
        <v>0</v>
      </c>
      <c r="G63" s="16">
        <v>8</v>
      </c>
      <c r="H63" s="16">
        <v>64</v>
      </c>
      <c r="I63" s="17">
        <f t="shared" si="1"/>
        <v>57120</v>
      </c>
      <c r="J63" s="17">
        <f t="shared" si="2"/>
        <v>10281.6</v>
      </c>
      <c r="K63" s="17">
        <f t="shared" si="3"/>
        <v>67401.600000000006</v>
      </c>
    </row>
    <row r="64" spans="1:11" ht="107.25" customHeight="1" x14ac:dyDescent="0.25">
      <c r="A64" s="4" t="s">
        <v>70</v>
      </c>
      <c r="B64" s="4"/>
      <c r="C64" s="15" t="s">
        <v>26</v>
      </c>
      <c r="D64" s="16">
        <f t="shared" si="0"/>
        <v>72</v>
      </c>
      <c r="E64" s="16">
        <v>6</v>
      </c>
      <c r="F64" s="16">
        <v>2</v>
      </c>
      <c r="G64" s="16">
        <v>0</v>
      </c>
      <c r="H64" s="16">
        <v>80</v>
      </c>
      <c r="I64" s="17">
        <f t="shared" si="1"/>
        <v>66830.399999999994</v>
      </c>
      <c r="J64" s="17">
        <f t="shared" si="2"/>
        <v>12029.471999999998</v>
      </c>
      <c r="K64" s="17">
        <f t="shared" si="3"/>
        <v>78859.871999999988</v>
      </c>
    </row>
    <row r="65" spans="1:11" ht="107.25" customHeight="1" x14ac:dyDescent="0.25">
      <c r="A65" s="4" t="s">
        <v>71</v>
      </c>
      <c r="B65" s="4"/>
      <c r="C65" s="15" t="s">
        <v>26</v>
      </c>
      <c r="D65" s="16">
        <f t="shared" si="0"/>
        <v>40</v>
      </c>
      <c r="E65" s="16">
        <v>6</v>
      </c>
      <c r="F65" s="16">
        <v>2</v>
      </c>
      <c r="G65" s="16">
        <v>0</v>
      </c>
      <c r="H65" s="16">
        <v>48</v>
      </c>
      <c r="I65" s="17">
        <f t="shared" si="1"/>
        <v>40718.400000000001</v>
      </c>
      <c r="J65" s="17">
        <f t="shared" si="2"/>
        <v>7329.3119999999999</v>
      </c>
      <c r="K65" s="17">
        <f t="shared" si="3"/>
        <v>48047.712</v>
      </c>
    </row>
    <row r="66" spans="1:11" ht="107.25" customHeight="1" x14ac:dyDescent="0.25">
      <c r="A66" s="4" t="s">
        <v>72</v>
      </c>
      <c r="B66" s="4"/>
      <c r="C66" s="15" t="s">
        <v>15</v>
      </c>
      <c r="D66" s="16">
        <f t="shared" si="0"/>
        <v>64</v>
      </c>
      <c r="E66" s="16">
        <v>0</v>
      </c>
      <c r="F66" s="16">
        <v>0</v>
      </c>
      <c r="G66" s="16">
        <v>8</v>
      </c>
      <c r="H66" s="16">
        <v>72</v>
      </c>
      <c r="I66" s="17">
        <f t="shared" si="1"/>
        <v>71838</v>
      </c>
      <c r="J66" s="17">
        <f t="shared" si="2"/>
        <v>12930.84</v>
      </c>
      <c r="K66" s="17">
        <f t="shared" si="3"/>
        <v>84768.84</v>
      </c>
    </row>
    <row r="67" spans="1:11" ht="107.25" customHeight="1" x14ac:dyDescent="0.25">
      <c r="A67" s="4" t="s">
        <v>73</v>
      </c>
      <c r="B67" s="4"/>
      <c r="C67" s="15" t="s">
        <v>26</v>
      </c>
      <c r="D67" s="16">
        <f t="shared" si="0"/>
        <v>64</v>
      </c>
      <c r="E67" s="16">
        <v>0</v>
      </c>
      <c r="F67" s="18">
        <v>0</v>
      </c>
      <c r="G67" s="18">
        <v>0</v>
      </c>
      <c r="H67" s="16">
        <v>64</v>
      </c>
      <c r="I67" s="17">
        <f t="shared" si="1"/>
        <v>52224</v>
      </c>
      <c r="J67" s="17">
        <f t="shared" si="2"/>
        <v>9400.32</v>
      </c>
      <c r="K67" s="17">
        <f t="shared" si="3"/>
        <v>61624.32</v>
      </c>
    </row>
    <row r="68" spans="1:11" ht="107.25" customHeight="1" x14ac:dyDescent="0.25">
      <c r="A68" s="4" t="s">
        <v>74</v>
      </c>
      <c r="B68" s="4"/>
      <c r="C68" s="15" t="s">
        <v>26</v>
      </c>
      <c r="D68" s="16">
        <f t="shared" si="0"/>
        <v>8</v>
      </c>
      <c r="E68" s="16">
        <v>0</v>
      </c>
      <c r="F68" s="18">
        <v>0</v>
      </c>
      <c r="G68" s="18">
        <v>0</v>
      </c>
      <c r="H68" s="16">
        <v>8</v>
      </c>
      <c r="I68" s="17">
        <f t="shared" si="1"/>
        <v>6528</v>
      </c>
      <c r="J68" s="17">
        <f t="shared" si="2"/>
        <v>1175.04</v>
      </c>
      <c r="K68" s="17">
        <f t="shared" si="3"/>
        <v>7703.04</v>
      </c>
    </row>
    <row r="69" spans="1:11" ht="107.25" customHeight="1" x14ac:dyDescent="0.25">
      <c r="A69" s="4" t="s">
        <v>75</v>
      </c>
      <c r="B69" s="4"/>
      <c r="C69" s="15" t="s">
        <v>26</v>
      </c>
      <c r="D69" s="16">
        <f t="shared" si="0"/>
        <v>56</v>
      </c>
      <c r="E69" s="16">
        <v>0</v>
      </c>
      <c r="F69" s="18">
        <v>0</v>
      </c>
      <c r="G69" s="18">
        <v>0</v>
      </c>
      <c r="H69" s="16">
        <v>56</v>
      </c>
      <c r="I69" s="17">
        <f t="shared" si="1"/>
        <v>45696</v>
      </c>
      <c r="J69" s="17">
        <f t="shared" si="2"/>
        <v>8225.2799999999988</v>
      </c>
      <c r="K69" s="17">
        <f t="shared" si="3"/>
        <v>53921.279999999999</v>
      </c>
    </row>
    <row r="70" spans="1:11" ht="107.25" customHeight="1" x14ac:dyDescent="0.25">
      <c r="A70" s="4" t="s">
        <v>76</v>
      </c>
      <c r="B70" s="4"/>
      <c r="C70" s="15" t="s">
        <v>26</v>
      </c>
      <c r="D70" s="16">
        <f t="shared" si="0"/>
        <v>64</v>
      </c>
      <c r="E70" s="16">
        <v>0</v>
      </c>
      <c r="F70" s="16">
        <v>0</v>
      </c>
      <c r="G70" s="16">
        <v>0</v>
      </c>
      <c r="H70" s="16">
        <v>64</v>
      </c>
      <c r="I70" s="17">
        <f t="shared" si="1"/>
        <v>52224</v>
      </c>
      <c r="J70" s="17">
        <f t="shared" si="2"/>
        <v>9400.32</v>
      </c>
      <c r="K70" s="17">
        <f t="shared" si="3"/>
        <v>61624.32</v>
      </c>
    </row>
    <row r="71" spans="1:11" x14ac:dyDescent="0.25">
      <c r="A71" s="9"/>
      <c r="B71" s="10"/>
    </row>
    <row r="72" spans="1:11" ht="21" customHeight="1" x14ac:dyDescent="0.25">
      <c r="J72" s="19" t="s">
        <v>77</v>
      </c>
      <c r="K72" s="20">
        <f>SUM(I18:I70)</f>
        <v>3050579.0999999987</v>
      </c>
    </row>
    <row r="73" spans="1:11" ht="13.5" customHeight="1" x14ac:dyDescent="0.25">
      <c r="A73" s="25"/>
      <c r="J73" s="19" t="s">
        <v>78</v>
      </c>
      <c r="K73" s="20">
        <f>SUM(J18:J70)</f>
        <v>549104.2379999999</v>
      </c>
    </row>
    <row r="74" spans="1:11" ht="15.75" x14ac:dyDescent="0.25">
      <c r="J74" s="21" t="s">
        <v>79</v>
      </c>
      <c r="K74" s="22">
        <f>K72+K73</f>
        <v>3599683.3379999986</v>
      </c>
    </row>
    <row r="75" spans="1:11" x14ac:dyDescent="0.25">
      <c r="A75" s="9"/>
    </row>
    <row r="76" spans="1:11" x14ac:dyDescent="0.25">
      <c r="A76" s="11" t="s">
        <v>83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8" spans="1:11" ht="99.75" customHeight="1" x14ac:dyDescent="0.25">
      <c r="A78" s="2" t="s">
        <v>80</v>
      </c>
      <c r="B78" s="2"/>
      <c r="C78" s="2"/>
      <c r="D78" s="2"/>
      <c r="E78" s="2"/>
      <c r="F78" s="2"/>
      <c r="G78" s="2"/>
      <c r="H78" s="2"/>
      <c r="I78" s="2"/>
      <c r="J78" s="2"/>
      <c r="K78" s="2"/>
    </row>
    <row r="80" spans="1:11" x14ac:dyDescent="0.25">
      <c r="A80" s="1" t="s">
        <v>81</v>
      </c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mergeCells count="58">
    <mergeCell ref="B76:K76"/>
    <mergeCell ref="A78:K78"/>
    <mergeCell ref="A80:K80"/>
    <mergeCell ref="C1:F1"/>
    <mergeCell ref="A66:B66"/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K32"/>
    <mergeCell ref="A33:B33"/>
    <mergeCell ref="A34:B34"/>
    <mergeCell ref="A35:B35"/>
    <mergeCell ref="A26:B26"/>
    <mergeCell ref="A27:B27"/>
    <mergeCell ref="A28:B28"/>
    <mergeCell ref="A29:B29"/>
    <mergeCell ref="A30:K30"/>
    <mergeCell ref="A21:B21"/>
    <mergeCell ref="A22:B22"/>
    <mergeCell ref="A23:B23"/>
    <mergeCell ref="A24:K24"/>
    <mergeCell ref="A25:B25"/>
    <mergeCell ref="A17:B17"/>
    <mergeCell ref="A18:K18"/>
    <mergeCell ref="A19:B19"/>
    <mergeCell ref="A20:B20"/>
  </mergeCells>
  <pageMargins left="0.25" right="0.25" top="0.75" bottom="0.75" header="0.3" footer="0.3"/>
  <pageSetup paperSize="9" scale="74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Assistance Technique 225</cp:lastModifiedBy>
  <cp:revision>0</cp:revision>
  <cp:lastPrinted>2026-04-29T14:10:26Z</cp:lastPrinted>
  <dcterms:created xsi:type="dcterms:W3CDTF">2026-04-29T13:09:46Z</dcterms:created>
  <dcterms:modified xsi:type="dcterms:W3CDTF">2026-04-29T14:28:34Z</dcterms:modified>
  <dc:language>en-US</dc:language>
</cp:coreProperties>
</file>