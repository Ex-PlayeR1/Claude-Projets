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wan\Mon Drive\1. Claude Projects\Factures Dorado\2. 3003 1204\new\"/>
    </mc:Choice>
  </mc:AlternateContent>
  <xr:revisionPtr revIDLastSave="0" documentId="13_ncr:1_{13E4E08D-0ECB-44C3-A9AC-93AC85F3A716}" xr6:coauthVersionLast="47" xr6:coauthVersionMax="47" xr10:uidLastSave="{00000000-0000-0000-0000-000000000000}"/>
  <bookViews>
    <workbookView xWindow="7725" yWindow="1185" windowWidth="24960" windowHeight="19200" tabRatio="500" xr2:uid="{00000000-000D-0000-FFFF-FFFF00000000}"/>
  </bookViews>
  <sheets>
    <sheet name="Factur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1" l="1"/>
  <c r="I31" i="1" s="1"/>
  <c r="I30" i="1"/>
  <c r="D30" i="1"/>
  <c r="D29" i="1"/>
  <c r="D28" i="1"/>
  <c r="D27" i="1"/>
  <c r="D25" i="1"/>
  <c r="D24" i="1"/>
  <c r="D23" i="1"/>
  <c r="D22" i="1"/>
  <c r="D21" i="1"/>
  <c r="D19" i="1"/>
  <c r="G15" i="1"/>
  <c r="F15" i="1"/>
  <c r="E15" i="1"/>
  <c r="I22" i="1" s="1"/>
  <c r="J22" i="1" s="1"/>
  <c r="G14" i="1"/>
  <c r="F14" i="1"/>
  <c r="I25" i="1" s="1"/>
  <c r="E14" i="1"/>
  <c r="I19" i="1" s="1"/>
  <c r="I21" i="1" l="1"/>
  <c r="I28" i="1"/>
  <c r="J28" i="1" s="1"/>
  <c r="I24" i="1"/>
  <c r="I23" i="1"/>
  <c r="I27" i="1"/>
  <c r="J27" i="1" s="1"/>
  <c r="I29" i="1"/>
  <c r="J23" i="1"/>
  <c r="K23" i="1"/>
  <c r="J29" i="1"/>
  <c r="K29" i="1" s="1"/>
  <c r="J25" i="1"/>
  <c r="K25" i="1" s="1"/>
  <c r="K33" i="1"/>
  <c r="J31" i="1"/>
  <c r="K31" i="1" s="1"/>
  <c r="K27" i="1"/>
  <c r="K28" i="1"/>
  <c r="J19" i="1"/>
  <c r="J24" i="1"/>
  <c r="K24" i="1" s="1"/>
  <c r="K22" i="1"/>
  <c r="J21" i="1"/>
  <c r="K21" i="1" s="1"/>
  <c r="J30" i="1"/>
  <c r="K30" i="1" s="1"/>
  <c r="K34" i="1" l="1"/>
  <c r="K35" i="1"/>
  <c r="K19" i="1"/>
</calcChain>
</file>

<file path=xl/sharedStrings.xml><?xml version="1.0" encoding="utf-8"?>
<sst xmlns="http://schemas.openxmlformats.org/spreadsheetml/2006/main" count="61" uniqueCount="48">
  <si>
    <t>ASSISTANCE TECHNIQUE 225
Abidjan &amp; Grand Bassam
Côte d'Ivoire</t>
  </si>
  <si>
    <t>Client</t>
  </si>
  <si>
    <t>Dorado Ivory SA</t>
  </si>
  <si>
    <t>Email</t>
  </si>
  <si>
    <t>sarahfranklin.schaar@doradonuts.com</t>
  </si>
  <si>
    <t>Adresse</t>
  </si>
  <si>
    <t>Toumodi Autoroute du Nord, PK 189</t>
  </si>
  <si>
    <t>30 BP 524 Abidjan 30, Toumodi, Côte d'Ivoire</t>
  </si>
  <si>
    <t>Facture client</t>
  </si>
  <si>
    <t>CC</t>
  </si>
  <si>
    <t>1945025 J</t>
  </si>
  <si>
    <t>24-330-S0106 / 558</t>
  </si>
  <si>
    <t>Date de la facture :  2026-04-30</t>
  </si>
  <si>
    <t>Période - 3003 au 1204 - 2026</t>
  </si>
  <si>
    <t>Heure Std</t>
  </si>
  <si>
    <t>HS 15%</t>
  </si>
  <si>
    <t>HS 50%</t>
  </si>
  <si>
    <t>HS 75%</t>
  </si>
  <si>
    <t>Manut.</t>
  </si>
  <si>
    <t>Superviseur</t>
  </si>
  <si>
    <t>Description</t>
  </si>
  <si>
    <t>Contrat</t>
  </si>
  <si>
    <t>H. Std</t>
  </si>
  <si>
    <t>Total Heures</t>
  </si>
  <si>
    <t>Montant HT</t>
  </si>
  <si>
    <t>Taxes</t>
  </si>
  <si>
    <t>Montant TTC</t>
  </si>
  <si>
    <t>Agent de sécurité</t>
  </si>
  <si>
    <t>Kouassi Aya Andréa Fabienne
Agent de sécurité
Contrat journalier  - 40h/sem
Date debut: 03/04/2026</t>
  </si>
  <si>
    <t>Manut</t>
  </si>
  <si>
    <t>Maintenance - Boiler B</t>
  </si>
  <si>
    <t>Ogunsile Abayomie
Opérateur
Contrat journalier  - 40h/sem
Date debut: 16/03/2026
HS 75%: 8 heures</t>
  </si>
  <si>
    <t>Stephen Nicholas
Opérateur
Contrat journalier  - 40h/sem
Date debut: 16/03/2026
HS 75%: 8 heures</t>
  </si>
  <si>
    <t>Nene Bi Jean Marc
Manutentionnaire
Contrat journalier  - 40h/sem
Date debut: 16/03/2026
HS 75%: 8 heures</t>
  </si>
  <si>
    <t>Sery Charles Lago
Aide Opérateur
Contrat journalier  - 40h/sem
Date debut: 16/03/2026
HS 75%: 8 heures</t>
  </si>
  <si>
    <t>Aniefiok Good Luck Samuel
Manutentionnaire
Contrat journalier  - 40h/sem
Date debut: 16/03/2026
HS 75%: 8 heures</t>
  </si>
  <si>
    <t>Maintenance - Boiler A</t>
  </si>
  <si>
    <t>Diabate Tiemoko
Aide Soudeur
Contrat journalier  - 40h/sem
Date debut: 16/03/2026
HS 75%: 8 heures</t>
  </si>
  <si>
    <t>Bassey Michael Esin
Opérateur
Contrat journalier  - 40h/sem
Date debut: 16/03/2026
HS 75%: 8 heures</t>
  </si>
  <si>
    <t>Mbengue El Hadj Ousseuno
Manutentionnaire
Contrat journalier  - 40h/sem
Date debut: 16/03/2026
HS 75%: 8 heures</t>
  </si>
  <si>
    <t>Sangaré Salif
Manutentionnaire
Contrat journalier  - 40h/sem
Date debut: 16/03/2026
HS 75%: 8 heures</t>
  </si>
  <si>
    <t>N'Guessan Amani Jean Mickael
Manutensionnaire
Contrat journalier  - 40h/sem
Date debut: 16/03/2026
HS 75%: 8 heures</t>
  </si>
  <si>
    <t>Montant HT :</t>
  </si>
  <si>
    <t>TVA :</t>
  </si>
  <si>
    <t>Total TTC :</t>
  </si>
  <si>
    <t>Condition de paiement : 15 jours</t>
  </si>
  <si>
    <t>Merci de faire votre règlement par virement en XOF sur le compte Assistance Technique 225 :
COMPTE : *CI059 01014 122339380001 57 XOF (ECOBANK)*
BIC/SWIFT : *ECOCCIAB*
IBAN : *CI93 CI05 9010 1412 2339 3800 0157*</t>
  </si>
  <si>
    <t>1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</si>
</sst>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1"/>
      <name val="Calibri"/>
      <charset val="1"/>
    </font>
    <font>
      <b/>
      <sz val="11"/>
      <color theme="1"/>
      <name val="Calibri"/>
      <family val="2"/>
      <charset val="1"/>
    </font>
    <font>
      <b/>
      <sz val="16"/>
      <name val="Calibri"/>
      <family val="2"/>
      <charset val="1"/>
    </font>
    <font>
      <b/>
      <sz val="24"/>
      <color rgb="FFFF6600"/>
      <name val="Calibri"/>
      <family val="2"/>
      <charset val="1"/>
    </font>
    <font>
      <b/>
      <sz val="11"/>
      <color rgb="FFFF6600"/>
      <name val="Calibri"/>
      <family val="2"/>
      <charset val="1"/>
    </font>
    <font>
      <i/>
      <sz val="18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b/>
      <sz val="12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DEADA"/>
      </patternFill>
    </fill>
    <fill>
      <patternFill patternType="solid">
        <fgColor theme="4" tint="0.79989013336588644"/>
        <bgColor rgb="FFD9E1F2"/>
      </patternFill>
    </fill>
    <fill>
      <patternFill patternType="solid">
        <fgColor theme="9" tint="0.79989013336588644"/>
        <bgColor rgb="FFFFF2CC"/>
      </patternFill>
    </fill>
    <fill>
      <patternFill patternType="solid">
        <fgColor rgb="FFD9E1F2"/>
        <bgColor rgb="FFDCE6F2"/>
      </patternFill>
    </fill>
    <fill>
      <patternFill patternType="solid">
        <fgColor rgb="FFF2F2F2"/>
        <bgColor rgb="FFFDEADA"/>
      </patternFill>
    </fill>
    <fill>
      <patternFill patternType="solid">
        <fgColor rgb="FFE2EFDA"/>
        <bgColor rgb="FFDCE6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/>
    <xf numFmtId="0" fontId="8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2" fillId="3" borderId="1" xfId="0" applyFont="1" applyFill="1" applyBorder="1" applyAlignment="1">
      <alignment horizontal="left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2" fillId="4" borderId="1" xfId="0" applyFont="1" applyFill="1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2" fillId="5" borderId="1" xfId="0" applyFont="1" applyFill="1" applyBorder="1" applyAlignment="1">
      <alignment horizontal="center" vertical="center" wrapText="1"/>
    </xf>
    <xf numFmtId="4" fontId="2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3" fontId="2" fillId="7" borderId="0" xfId="0" applyNumberFormat="1" applyFont="1" applyFill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3" fontId="9" fillId="7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19752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DEA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2070</xdr:colOff>
      <xdr:row>5</xdr:row>
      <xdr:rowOff>39600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3080520" cy="1249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"/>
  <sheetViews>
    <sheetView showGridLines="0" tabSelected="1" zoomScaleNormal="100" workbookViewId="0">
      <selection activeCell="Q31" sqref="Q31"/>
    </sheetView>
  </sheetViews>
  <sheetFormatPr baseColWidth="10" defaultColWidth="8.7109375" defaultRowHeight="15" x14ac:dyDescent="0.25"/>
  <cols>
    <col min="1" max="1" width="38" customWidth="1"/>
    <col min="2" max="2" width="5.7109375" customWidth="1"/>
    <col min="3" max="3" width="12.42578125" customWidth="1"/>
    <col min="4" max="7" width="9" customWidth="1"/>
    <col min="8" max="8" width="7.7109375" customWidth="1"/>
    <col min="9" max="11" width="11.140625" customWidth="1"/>
  </cols>
  <sheetData>
    <row r="1" spans="1:8" ht="65.25" customHeight="1" x14ac:dyDescent="0.25">
      <c r="C1" s="7" t="s">
        <v>0</v>
      </c>
      <c r="D1" s="7"/>
      <c r="E1" s="7"/>
      <c r="F1" s="7"/>
      <c r="G1" s="8"/>
    </row>
    <row r="2" spans="1:8" ht="13.5" hidden="1" customHeight="1" x14ac:dyDescent="0.25">
      <c r="C2" s="8"/>
      <c r="D2" s="8"/>
      <c r="E2" s="8"/>
      <c r="F2" s="8"/>
      <c r="G2" s="8"/>
    </row>
    <row r="3" spans="1:8" ht="18" hidden="1" customHeight="1" x14ac:dyDescent="0.25">
      <c r="C3" s="8"/>
      <c r="D3" s="8"/>
      <c r="E3" s="8"/>
      <c r="F3" s="8"/>
      <c r="G3" s="8"/>
    </row>
    <row r="5" spans="1:8" x14ac:dyDescent="0.25">
      <c r="G5" s="9" t="s">
        <v>1</v>
      </c>
      <c r="H5" s="10" t="s">
        <v>2</v>
      </c>
    </row>
    <row r="6" spans="1:8" ht="15" customHeight="1" x14ac:dyDescent="0.25">
      <c r="E6" s="11"/>
      <c r="F6" s="12"/>
      <c r="G6" s="9" t="s">
        <v>3</v>
      </c>
      <c r="H6" s="10" t="s">
        <v>4</v>
      </c>
    </row>
    <row r="7" spans="1:8" x14ac:dyDescent="0.25">
      <c r="E7" s="11"/>
      <c r="F7" s="12"/>
      <c r="G7" s="9" t="s">
        <v>5</v>
      </c>
      <c r="H7" s="10" t="s">
        <v>6</v>
      </c>
    </row>
    <row r="8" spans="1:8" ht="15.75" customHeight="1" x14ac:dyDescent="0.25">
      <c r="E8" s="11"/>
      <c r="F8" s="12"/>
      <c r="H8" t="s">
        <v>7</v>
      </c>
    </row>
    <row r="9" spans="1:8" ht="21" customHeight="1" x14ac:dyDescent="0.35">
      <c r="A9" s="13" t="s">
        <v>8</v>
      </c>
      <c r="G9" s="14" t="s">
        <v>9</v>
      </c>
      <c r="H9" t="s">
        <v>10</v>
      </c>
    </row>
    <row r="10" spans="1:8" ht="31.5" customHeight="1" x14ac:dyDescent="0.5">
      <c r="A10" s="15" t="s">
        <v>11</v>
      </c>
      <c r="B10" s="12"/>
    </row>
    <row r="11" spans="1:8" x14ac:dyDescent="0.25">
      <c r="A11" s="14" t="s">
        <v>12</v>
      </c>
    </row>
    <row r="12" spans="1:8" x14ac:dyDescent="0.25">
      <c r="A12" s="16"/>
      <c r="C12" s="16"/>
      <c r="D12" s="16"/>
      <c r="E12" s="16"/>
      <c r="F12" s="16"/>
      <c r="G12" s="16"/>
    </row>
    <row r="13" spans="1:8" ht="30" customHeight="1" x14ac:dyDescent="0.35">
      <c r="A13" s="17" t="s">
        <v>13</v>
      </c>
      <c r="C13" s="18"/>
      <c r="D13" s="19" t="s">
        <v>14</v>
      </c>
      <c r="E13" s="19" t="s">
        <v>15</v>
      </c>
      <c r="F13" s="19" t="s">
        <v>16</v>
      </c>
      <c r="G13" s="19" t="s">
        <v>17</v>
      </c>
    </row>
    <row r="14" spans="1:8" x14ac:dyDescent="0.25">
      <c r="A14" s="20"/>
      <c r="C14" s="21" t="s">
        <v>18</v>
      </c>
      <c r="D14" s="22">
        <v>816</v>
      </c>
      <c r="E14" s="22">
        <f>D14*1.15</f>
        <v>938.4</v>
      </c>
      <c r="F14" s="22">
        <f>D14*1.5</f>
        <v>1224</v>
      </c>
      <c r="G14" s="22">
        <f>D14*1.75</f>
        <v>1428</v>
      </c>
    </row>
    <row r="15" spans="1:8" ht="22.5" customHeight="1" x14ac:dyDescent="0.25">
      <c r="A15" s="23"/>
      <c r="C15" s="24" t="s">
        <v>19</v>
      </c>
      <c r="D15" s="25">
        <v>921</v>
      </c>
      <c r="E15" s="25">
        <f>D15*1.15</f>
        <v>1059.1499999999999</v>
      </c>
      <c r="F15" s="25">
        <f>D15*1.5</f>
        <v>1381.5</v>
      </c>
      <c r="G15" s="25">
        <f>D15*1.75</f>
        <v>1611.75</v>
      </c>
    </row>
    <row r="16" spans="1:8" ht="11.25" customHeight="1" x14ac:dyDescent="0.25">
      <c r="A16" s="23"/>
      <c r="C16" s="26"/>
      <c r="D16" s="27"/>
      <c r="E16" s="27"/>
      <c r="F16" s="26"/>
      <c r="G16" s="27"/>
    </row>
    <row r="17" spans="1:11" ht="34.5" customHeight="1" x14ac:dyDescent="0.25">
      <c r="A17" s="6" t="s">
        <v>20</v>
      </c>
      <c r="B17" s="6"/>
      <c r="C17" s="28" t="s">
        <v>21</v>
      </c>
      <c r="D17" s="29" t="s">
        <v>22</v>
      </c>
      <c r="E17" s="29" t="s">
        <v>15</v>
      </c>
      <c r="F17" s="28" t="s">
        <v>16</v>
      </c>
      <c r="G17" s="29" t="s">
        <v>17</v>
      </c>
      <c r="H17" s="28" t="s">
        <v>23</v>
      </c>
      <c r="I17" s="28" t="s">
        <v>24</v>
      </c>
      <c r="J17" s="28" t="s">
        <v>25</v>
      </c>
      <c r="K17" s="28" t="s">
        <v>26</v>
      </c>
    </row>
    <row r="18" spans="1:11" ht="54" customHeight="1" x14ac:dyDescent="0.25">
      <c r="A18" s="5" t="s">
        <v>27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03.5" customHeight="1" x14ac:dyDescent="0.25">
      <c r="A19" s="4" t="s">
        <v>28</v>
      </c>
      <c r="B19" s="4"/>
      <c r="C19" s="30" t="s">
        <v>29</v>
      </c>
      <c r="D19" s="31">
        <f>H19-E19-F19-G19</f>
        <v>48</v>
      </c>
      <c r="E19" s="31">
        <v>0</v>
      </c>
      <c r="F19" s="31">
        <v>0</v>
      </c>
      <c r="G19" s="31">
        <v>0</v>
      </c>
      <c r="H19" s="31">
        <v>48</v>
      </c>
      <c r="I19" s="32">
        <f>IF(C19="Manut",D19*$D$14+E19*$E$14+F19*$F$14+G19*$G$14,D19*$D$15+E19*$E$15+F19*$F$15+G19*$G$15)</f>
        <v>39168</v>
      </c>
      <c r="J19" s="32">
        <f>I19*0.18</f>
        <v>7050.24</v>
      </c>
      <c r="K19" s="32">
        <f>I19+J19</f>
        <v>46218.239999999998</v>
      </c>
    </row>
    <row r="20" spans="1:11" ht="54" customHeight="1" x14ac:dyDescent="0.25">
      <c r="A20" s="5" t="s">
        <v>30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03.5" customHeight="1" x14ac:dyDescent="0.25">
      <c r="A21" s="4" t="s">
        <v>31</v>
      </c>
      <c r="B21" s="4"/>
      <c r="C21" s="30" t="s">
        <v>19</v>
      </c>
      <c r="D21" s="31">
        <f>H21-E21-F21-G21</f>
        <v>80</v>
      </c>
      <c r="E21" s="31">
        <v>0</v>
      </c>
      <c r="F21" s="31">
        <v>0</v>
      </c>
      <c r="G21" s="31">
        <v>8</v>
      </c>
      <c r="H21" s="31">
        <v>88</v>
      </c>
      <c r="I21" s="32">
        <f>IF(C21="Manut",D21*$D$14+E21*$E$14+F21*$F$14+G21*$G$14,D21*$D$15+E21*$E$15+F21*$F$15+G21*$G$15)</f>
        <v>86574</v>
      </c>
      <c r="J21" s="32">
        <f>I21*0.18</f>
        <v>15583.32</v>
      </c>
      <c r="K21" s="32">
        <f>I21+J21</f>
        <v>102157.32</v>
      </c>
    </row>
    <row r="22" spans="1:11" ht="103.5" customHeight="1" x14ac:dyDescent="0.25">
      <c r="A22" s="4" t="s">
        <v>32</v>
      </c>
      <c r="B22" s="4"/>
      <c r="C22" s="30" t="s">
        <v>19</v>
      </c>
      <c r="D22" s="31">
        <f>H22-E22-F22-G22</f>
        <v>72</v>
      </c>
      <c r="E22" s="31">
        <v>0</v>
      </c>
      <c r="F22" s="31">
        <v>0</v>
      </c>
      <c r="G22" s="31">
        <v>8</v>
      </c>
      <c r="H22" s="31">
        <v>80</v>
      </c>
      <c r="I22" s="32">
        <f>IF(C22="Manut",D22*$D$14+E22*$E$14+F22*$F$14+G22*$G$14,D22*$D$15+E22*$E$15+F22*$F$15+G22*$G$15)</f>
        <v>79206</v>
      </c>
      <c r="J22" s="32">
        <f>I22*0.18</f>
        <v>14257.08</v>
      </c>
      <c r="K22" s="32">
        <f>I22+J22</f>
        <v>93463.08</v>
      </c>
    </row>
    <row r="23" spans="1:11" ht="103.5" customHeight="1" x14ac:dyDescent="0.25">
      <c r="A23" s="4" t="s">
        <v>33</v>
      </c>
      <c r="B23" s="4"/>
      <c r="C23" s="30" t="s">
        <v>29</v>
      </c>
      <c r="D23" s="31">
        <f>H23-E23-F23-G23</f>
        <v>72</v>
      </c>
      <c r="E23" s="31">
        <v>0</v>
      </c>
      <c r="F23" s="31">
        <v>0</v>
      </c>
      <c r="G23" s="31">
        <v>8</v>
      </c>
      <c r="H23" s="31">
        <v>80</v>
      </c>
      <c r="I23" s="32">
        <f>IF(C23="Manut",D23*$D$14+E23*$E$14+F23*$F$14+G23*$G$14,D23*$D$15+E23*$E$15+F23*$F$15+G23*$G$15)</f>
        <v>70176</v>
      </c>
      <c r="J23" s="32">
        <f>I23*0.18</f>
        <v>12631.68</v>
      </c>
      <c r="K23" s="32">
        <f>I23+J23</f>
        <v>82807.679999999993</v>
      </c>
    </row>
    <row r="24" spans="1:11" ht="103.5" customHeight="1" x14ac:dyDescent="0.25">
      <c r="A24" s="4" t="s">
        <v>34</v>
      </c>
      <c r="B24" s="4"/>
      <c r="C24" s="30" t="s">
        <v>29</v>
      </c>
      <c r="D24" s="31">
        <f>H24-E24-F24-G24</f>
        <v>56</v>
      </c>
      <c r="E24" s="31">
        <v>0</v>
      </c>
      <c r="F24" s="31">
        <v>0</v>
      </c>
      <c r="G24" s="31">
        <v>8</v>
      </c>
      <c r="H24" s="31">
        <v>64</v>
      </c>
      <c r="I24" s="32">
        <f>IF(C24="Manut",D24*$D$14+E24*$E$14+F24*$F$14+G24*$G$14,D24*$D$15+E24*$E$15+F24*$F$15+G24*$G$15)</f>
        <v>57120</v>
      </c>
      <c r="J24" s="32">
        <f>I24*0.18</f>
        <v>10281.6</v>
      </c>
      <c r="K24" s="32">
        <f>I24+J24</f>
        <v>67401.600000000006</v>
      </c>
    </row>
    <row r="25" spans="1:11" ht="103.5" customHeight="1" x14ac:dyDescent="0.25">
      <c r="A25" s="4" t="s">
        <v>35</v>
      </c>
      <c r="B25" s="4"/>
      <c r="C25" s="30" t="s">
        <v>29</v>
      </c>
      <c r="D25" s="31">
        <f>H25-E25-F25-G25</f>
        <v>80</v>
      </c>
      <c r="E25" s="31">
        <v>0</v>
      </c>
      <c r="F25" s="31">
        <v>0</v>
      </c>
      <c r="G25" s="31">
        <v>8</v>
      </c>
      <c r="H25" s="31">
        <v>88</v>
      </c>
      <c r="I25" s="32">
        <f>IF(C25="Manut",D25*$D$14+E25*$E$14+F25*$F$14+G25*$G$14,D25*$D$15+E25*$E$15+F25*$F$15+G25*$G$15)</f>
        <v>76704</v>
      </c>
      <c r="J25" s="32">
        <f>I25*0.18</f>
        <v>13806.72</v>
      </c>
      <c r="K25" s="32">
        <f>I25+J25</f>
        <v>90510.720000000001</v>
      </c>
    </row>
    <row r="26" spans="1:11" ht="54" customHeight="1" x14ac:dyDescent="0.25">
      <c r="A26" s="5" t="s">
        <v>36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03.5" customHeight="1" x14ac:dyDescent="0.25">
      <c r="A27" s="4" t="s">
        <v>37</v>
      </c>
      <c r="B27" s="4"/>
      <c r="C27" s="30" t="s">
        <v>29</v>
      </c>
      <c r="D27" s="31">
        <f>H27-E27-F27-G27</f>
        <v>80</v>
      </c>
      <c r="E27" s="31">
        <v>0</v>
      </c>
      <c r="F27" s="31">
        <v>0</v>
      </c>
      <c r="G27" s="31">
        <v>8</v>
      </c>
      <c r="H27" s="31">
        <v>88</v>
      </c>
      <c r="I27" s="32">
        <f>IF(C27="Manut",D27*$D$14+E27*$E$14+F27*$F$14+G27*$G$14,D27*$D$15+E27*$E$15+F27*$F$15+G27*$G$15)</f>
        <v>76704</v>
      </c>
      <c r="J27" s="32">
        <f>I27*0.18</f>
        <v>13806.72</v>
      </c>
      <c r="K27" s="32">
        <f>I27+J27</f>
        <v>90510.720000000001</v>
      </c>
    </row>
    <row r="28" spans="1:11" ht="103.5" customHeight="1" x14ac:dyDescent="0.25">
      <c r="A28" s="4" t="s">
        <v>38</v>
      </c>
      <c r="B28" s="4"/>
      <c r="C28" s="30" t="s">
        <v>19</v>
      </c>
      <c r="D28" s="31">
        <f>H28-E28-F28-G28</f>
        <v>56</v>
      </c>
      <c r="E28" s="31">
        <v>0</v>
      </c>
      <c r="F28" s="31">
        <v>0</v>
      </c>
      <c r="G28" s="31">
        <v>8</v>
      </c>
      <c r="H28" s="31">
        <v>64</v>
      </c>
      <c r="I28" s="32">
        <f>IF(C28="Manut",D28*$D$14+E28*$E$14+F28*$F$14+G28*$G$14,D28*$D$15+E28*$E$15+F28*$F$15+G28*$G$15)</f>
        <v>64470</v>
      </c>
      <c r="J28" s="32">
        <f>I28*0.18</f>
        <v>11604.6</v>
      </c>
      <c r="K28" s="32">
        <f>I28+J28</f>
        <v>76074.600000000006</v>
      </c>
    </row>
    <row r="29" spans="1:11" ht="103.5" customHeight="1" x14ac:dyDescent="0.25">
      <c r="A29" s="4" t="s">
        <v>39</v>
      </c>
      <c r="B29" s="4"/>
      <c r="C29" s="30" t="s">
        <v>29</v>
      </c>
      <c r="D29" s="31">
        <f>H29-E29-F29-G29</f>
        <v>56</v>
      </c>
      <c r="E29" s="31">
        <v>0</v>
      </c>
      <c r="F29" s="31">
        <v>0</v>
      </c>
      <c r="G29" s="31">
        <v>8</v>
      </c>
      <c r="H29" s="31">
        <v>64</v>
      </c>
      <c r="I29" s="32">
        <f>IF(C29="Manut",D29*$D$14+E29*$E$14+F29*$F$14+G29*$G$14,D29*$D$15+E29*$E$15+F29*$F$15+G29*$G$15)</f>
        <v>57120</v>
      </c>
      <c r="J29" s="32">
        <f>I29*0.18</f>
        <v>10281.6</v>
      </c>
      <c r="K29" s="32">
        <f>I29+J29</f>
        <v>67401.600000000006</v>
      </c>
    </row>
    <row r="30" spans="1:11" ht="103.5" customHeight="1" x14ac:dyDescent="0.25">
      <c r="A30" s="4" t="s">
        <v>40</v>
      </c>
      <c r="B30" s="4"/>
      <c r="C30" s="30" t="s">
        <v>29</v>
      </c>
      <c r="D30" s="31">
        <f>H30-E30-F30-G30</f>
        <v>64</v>
      </c>
      <c r="E30" s="31">
        <v>0</v>
      </c>
      <c r="F30" s="31">
        <v>0</v>
      </c>
      <c r="G30" s="31">
        <v>8</v>
      </c>
      <c r="H30" s="31">
        <v>72</v>
      </c>
      <c r="I30" s="32">
        <f>IF(C30="Manut",D30*$D$14+E30*$E$14+F30*$F$14+G30*$G$14,D30*$D$15+E30*$E$15+F30*$F$15+G30*$G$15)</f>
        <v>63648</v>
      </c>
      <c r="J30" s="32">
        <f>I30*0.18</f>
        <v>11456.64</v>
      </c>
      <c r="K30" s="32">
        <f>I30+J30</f>
        <v>75104.639999999999</v>
      </c>
    </row>
    <row r="31" spans="1:11" ht="103.5" customHeight="1" x14ac:dyDescent="0.25">
      <c r="A31" s="4" t="s">
        <v>41</v>
      </c>
      <c r="B31" s="4"/>
      <c r="C31" s="30" t="s">
        <v>29</v>
      </c>
      <c r="D31" s="31">
        <f>H31-E31-F31-G31</f>
        <v>56</v>
      </c>
      <c r="E31" s="31">
        <v>0</v>
      </c>
      <c r="F31" s="31">
        <v>0</v>
      </c>
      <c r="G31" s="31">
        <v>8</v>
      </c>
      <c r="H31" s="31">
        <v>64</v>
      </c>
      <c r="I31" s="32">
        <f>IF(C31="Manut",D31*$D$14+E31*$E$14+F31*$F$14+G31*$G$14,D31*$D$15+E31*$E$15+F31*$F$15+G31*$G$15)</f>
        <v>57120</v>
      </c>
      <c r="J31" s="32">
        <f>I31*0.18</f>
        <v>10281.6</v>
      </c>
      <c r="K31" s="32">
        <f>I31+J31</f>
        <v>67401.600000000006</v>
      </c>
    </row>
    <row r="32" spans="1:11" x14ac:dyDescent="0.25">
      <c r="A32" s="11"/>
      <c r="B32" s="12"/>
    </row>
    <row r="33" spans="1:11" ht="21" customHeight="1" x14ac:dyDescent="0.25">
      <c r="J33" s="37" t="s">
        <v>42</v>
      </c>
      <c r="K33" s="34">
        <f>SUM(I18:I31)</f>
        <v>728010</v>
      </c>
    </row>
    <row r="34" spans="1:11" ht="13.5" customHeight="1" x14ac:dyDescent="0.25">
      <c r="A34" s="23"/>
      <c r="J34" s="33" t="s">
        <v>43</v>
      </c>
      <c r="K34" s="34">
        <f>SUM(J18:J31)</f>
        <v>131041.80000000002</v>
      </c>
    </row>
    <row r="35" spans="1:11" ht="15.75" customHeight="1" x14ac:dyDescent="0.25">
      <c r="J35" s="35" t="s">
        <v>44</v>
      </c>
      <c r="K35" s="36">
        <f>K33+K34</f>
        <v>859051.8</v>
      </c>
    </row>
    <row r="36" spans="1:11" x14ac:dyDescent="0.25">
      <c r="A36" s="11"/>
    </row>
    <row r="37" spans="1:11" x14ac:dyDescent="0.25">
      <c r="A37" s="14" t="s">
        <v>45</v>
      </c>
      <c r="B37" s="3"/>
      <c r="C37" s="3"/>
      <c r="D37" s="3"/>
      <c r="E37" s="3"/>
      <c r="F37" s="3"/>
      <c r="G37" s="3"/>
      <c r="H37" s="3"/>
      <c r="I37" s="3"/>
      <c r="J37" s="3"/>
      <c r="K37" s="3"/>
    </row>
    <row r="39" spans="1:11" ht="99.75" customHeight="1" x14ac:dyDescent="0.25">
      <c r="A39" s="2" t="s">
        <v>46</v>
      </c>
      <c r="B39" s="2"/>
      <c r="C39" s="2"/>
      <c r="D39" s="2"/>
      <c r="E39" s="2"/>
      <c r="F39" s="2"/>
      <c r="G39" s="2"/>
      <c r="H39" s="2"/>
      <c r="I39" s="2"/>
      <c r="J39" s="2"/>
      <c r="K39" s="2"/>
    </row>
    <row r="41" spans="1:11" x14ac:dyDescent="0.25">
      <c r="A41" s="1" t="s">
        <v>47</v>
      </c>
      <c r="B41" s="1"/>
      <c r="C41" s="1"/>
      <c r="D41" s="1"/>
      <c r="E41" s="1"/>
      <c r="F41" s="1"/>
      <c r="G41" s="1"/>
      <c r="H41" s="1"/>
      <c r="I41" s="1"/>
      <c r="J41" s="1"/>
      <c r="K41" s="1"/>
    </row>
  </sheetData>
  <mergeCells count="19">
    <mergeCell ref="A31:B31"/>
    <mergeCell ref="B37:K37"/>
    <mergeCell ref="A39:K39"/>
    <mergeCell ref="A41:K41"/>
    <mergeCell ref="A26:K26"/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C1:F1"/>
    <mergeCell ref="A17:B17"/>
    <mergeCell ref="A18:K18"/>
    <mergeCell ref="A19:B19"/>
    <mergeCell ref="A20:K20"/>
  </mergeCells>
  <pageMargins left="0.25" right="0.25" top="0.75" bottom="0.7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Facture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Assistance Technique 225</cp:lastModifiedBy>
  <cp:revision>0</cp:revision>
  <cp:lastPrinted>2026-04-29T14:10:26Z</cp:lastPrinted>
  <dcterms:created xsi:type="dcterms:W3CDTF">2026-04-29T13:09:46Z</dcterms:created>
  <dcterms:modified xsi:type="dcterms:W3CDTF">2026-05-04T16:55:14Z</dcterms:modified>
  <dc:language>en-US</dc:language>
</cp:coreProperties>
</file>