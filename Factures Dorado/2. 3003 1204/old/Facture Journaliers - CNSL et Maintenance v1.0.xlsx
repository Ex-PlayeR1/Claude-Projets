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Mon Drive\Assistance Technique 225\4. Clients\Dorado Ivory\Factures\Journaliers\1. 1603 au 2903\"/>
    </mc:Choice>
  </mc:AlternateContent>
  <xr:revisionPtr revIDLastSave="0" documentId="13_ncr:1_{6E1D1168-B9B6-4DCB-A561-DAE4D305D96D}" xr6:coauthVersionLast="47" xr6:coauthVersionMax="47" xr10:uidLastSave="{00000000-0000-0000-0000-000000000000}"/>
  <bookViews>
    <workbookView xWindow="-105" yWindow="0" windowWidth="26085" windowHeight="20985" activeTab="2" xr2:uid="{00000000-000D-0000-FFFF-FFFF00000000}"/>
  </bookViews>
  <sheets>
    <sheet name="Facture" sheetId="1" r:id="rId1"/>
    <sheet name="Facture J draft 2" sheetId="2" r:id="rId2"/>
    <sheet name="Facture J finale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F14" i="3"/>
  <c r="E14" i="3"/>
  <c r="G13" i="3"/>
  <c r="E21" i="3" s="1"/>
  <c r="F13" i="3"/>
  <c r="E13" i="3"/>
  <c r="G77" i="2"/>
  <c r="G76" i="2"/>
  <c r="G75" i="2"/>
  <c r="E70" i="2"/>
  <c r="E69" i="2"/>
  <c r="E60" i="2"/>
  <c r="E59" i="2"/>
  <c r="E55" i="2"/>
  <c r="E54" i="2"/>
  <c r="E48" i="2"/>
  <c r="E43" i="2"/>
  <c r="E42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G34" i="2" s="1"/>
  <c r="F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E40" i="2"/>
  <c r="F40" i="2"/>
  <c r="G40" i="2"/>
  <c r="E41" i="2"/>
  <c r="F41" i="2"/>
  <c r="G41" i="2"/>
  <c r="E44" i="2"/>
  <c r="E45" i="2"/>
  <c r="F45" i="2" s="1"/>
  <c r="G45" i="2" s="1"/>
  <c r="E46" i="2"/>
  <c r="E47" i="2"/>
  <c r="E49" i="2"/>
  <c r="F49" i="2" s="1"/>
  <c r="G49" i="2" s="1"/>
  <c r="E50" i="2"/>
  <c r="F50" i="2"/>
  <c r="G50" i="2"/>
  <c r="E51" i="2"/>
  <c r="F51" i="2" s="1"/>
  <c r="G51" i="2" s="1"/>
  <c r="E52" i="2"/>
  <c r="F52" i="2" s="1"/>
  <c r="G52" i="2" s="1"/>
  <c r="E53" i="2"/>
  <c r="E56" i="2"/>
  <c r="E57" i="2"/>
  <c r="E58" i="2"/>
  <c r="F58" i="2" s="1"/>
  <c r="G58" i="2" s="1"/>
  <c r="E61" i="2"/>
  <c r="E62" i="2"/>
  <c r="F62" i="2" s="1"/>
  <c r="G62" i="2" s="1"/>
  <c r="E63" i="2"/>
  <c r="E64" i="2"/>
  <c r="E65" i="2"/>
  <c r="E66" i="2"/>
  <c r="E67" i="2"/>
  <c r="E68" i="2"/>
  <c r="E71" i="2"/>
  <c r="E72" i="2"/>
  <c r="E73" i="2"/>
  <c r="E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29" i="2"/>
  <c r="E26" i="2"/>
  <c r="F26" i="2" s="1"/>
  <c r="G26" i="2" s="1"/>
  <c r="E27" i="2"/>
  <c r="F27" i="2" s="1"/>
  <c r="G27" i="2" s="1"/>
  <c r="E25" i="2"/>
  <c r="F25" i="2"/>
  <c r="G25" i="2" s="1"/>
  <c r="L25" i="2"/>
  <c r="L26" i="2"/>
  <c r="L27" i="2"/>
  <c r="E24" i="2"/>
  <c r="E23" i="2"/>
  <c r="L24" i="2"/>
  <c r="F23" i="2"/>
  <c r="G23" i="2" s="1"/>
  <c r="L23" i="2"/>
  <c r="E18" i="2"/>
  <c r="F18" i="2" s="1"/>
  <c r="G18" i="2" s="1"/>
  <c r="E21" i="2"/>
  <c r="E20" i="2"/>
  <c r="E19" i="2"/>
  <c r="F19" i="2" s="1"/>
  <c r="G19" i="2" s="1"/>
  <c r="F21" i="2"/>
  <c r="G21" i="2" s="1"/>
  <c r="E17" i="2"/>
  <c r="F17" i="2" s="1"/>
  <c r="G17" i="2" s="1"/>
  <c r="G13" i="2"/>
  <c r="F13" i="2"/>
  <c r="E13" i="2"/>
  <c r="G12" i="2"/>
  <c r="F12" i="2"/>
  <c r="E12" i="2"/>
  <c r="J22" i="1"/>
  <c r="I22" i="1"/>
  <c r="H22" i="1"/>
  <c r="C22" i="1"/>
  <c r="F21" i="1"/>
  <c r="E21" i="1"/>
  <c r="D21" i="1"/>
  <c r="C21" i="1"/>
  <c r="F19" i="1"/>
  <c r="E19" i="1"/>
  <c r="D19" i="1"/>
  <c r="C19" i="1"/>
  <c r="C20" i="1"/>
  <c r="D13" i="1"/>
  <c r="E13" i="1"/>
  <c r="F13" i="1"/>
  <c r="E19" i="3" l="1"/>
  <c r="F21" i="3"/>
  <c r="G21" i="3" s="1"/>
  <c r="E22" i="3"/>
  <c r="E20" i="3"/>
  <c r="E18" i="3"/>
  <c r="F70" i="2"/>
  <c r="G70" i="2" s="1"/>
  <c r="F69" i="2"/>
  <c r="G69" i="2" s="1"/>
  <c r="F60" i="2"/>
  <c r="G60" i="2" s="1"/>
  <c r="F59" i="2"/>
  <c r="G59" i="2" s="1"/>
  <c r="F55" i="2"/>
  <c r="G55" i="2" s="1"/>
  <c r="F54" i="2"/>
  <c r="G54" i="2" s="1"/>
  <c r="F48" i="2"/>
  <c r="G48" i="2" s="1"/>
  <c r="F43" i="2"/>
  <c r="G43" i="2" s="1"/>
  <c r="F42" i="2"/>
  <c r="G42" i="2" s="1"/>
  <c r="F39" i="2"/>
  <c r="G39" i="2"/>
  <c r="F44" i="2"/>
  <c r="G44" i="2" s="1"/>
  <c r="F46" i="2"/>
  <c r="G46" i="2"/>
  <c r="F47" i="2"/>
  <c r="G47" i="2"/>
  <c r="F53" i="2"/>
  <c r="G53" i="2" s="1"/>
  <c r="F56" i="2"/>
  <c r="G56" i="2" s="1"/>
  <c r="F57" i="2"/>
  <c r="G57" i="2" s="1"/>
  <c r="F61" i="2"/>
  <c r="G61" i="2" s="1"/>
  <c r="F63" i="2"/>
  <c r="G63" i="2"/>
  <c r="F64" i="2"/>
  <c r="G64" i="2" s="1"/>
  <c r="F65" i="2"/>
  <c r="G65" i="2" s="1"/>
  <c r="F66" i="2"/>
  <c r="G66" i="2"/>
  <c r="F67" i="2"/>
  <c r="G67" i="2"/>
  <c r="F68" i="2"/>
  <c r="G68" i="2"/>
  <c r="F71" i="2"/>
  <c r="G71" i="2" s="1"/>
  <c r="F72" i="2"/>
  <c r="G72" i="2" s="1"/>
  <c r="F73" i="2"/>
  <c r="G73" i="2" s="1"/>
  <c r="F29" i="2"/>
  <c r="G29" i="2"/>
  <c r="F24" i="2"/>
  <c r="G24" i="2"/>
  <c r="F20" i="2"/>
  <c r="G20" i="2"/>
  <c r="H21" i="1"/>
  <c r="I21" i="1"/>
  <c r="J21" i="1" s="1"/>
  <c r="F12" i="1"/>
  <c r="H19" i="1"/>
  <c r="E12" i="1"/>
  <c r="D12" i="1"/>
  <c r="F19" i="3" l="1"/>
  <c r="G19" i="3" s="1"/>
  <c r="F22" i="3"/>
  <c r="G22" i="3" s="1"/>
  <c r="F20" i="3"/>
  <c r="G20" i="3" s="1"/>
  <c r="F18" i="3"/>
  <c r="G18" i="3" s="1"/>
  <c r="G76" i="3"/>
  <c r="I19" i="1"/>
  <c r="J19" i="1" s="1"/>
  <c r="G77" i="3" l="1"/>
  <c r="G78" i="3" s="1"/>
</calcChain>
</file>

<file path=xl/sharedStrings.xml><?xml version="1.0" encoding="utf-8"?>
<sst xmlns="http://schemas.openxmlformats.org/spreadsheetml/2006/main" count="437" uniqueCount="108">
  <si>
    <t>ASSISTANCE TECHNIQUE 225
Abidjan &amp; Grand Bassam
Côte d'Ivoire</t>
  </si>
  <si>
    <t>Client</t>
  </si>
  <si>
    <t>Dorado Ivory SA</t>
  </si>
  <si>
    <t>Téléphone</t>
  </si>
  <si>
    <t>Adresse</t>
  </si>
  <si>
    <t>Toumodi Autoroute du Nord, PK 189
30 BP 524 Abidjan 30
Toumodi</t>
  </si>
  <si>
    <t>Date de la facture :</t>
  </si>
  <si>
    <t>2026-03-31</t>
  </si>
  <si>
    <t>Description</t>
  </si>
  <si>
    <t>Quantité</t>
  </si>
  <si>
    <t>Prix unitaire</t>
  </si>
  <si>
    <t>Montant HT</t>
  </si>
  <si>
    <t>Taxes</t>
  </si>
  <si>
    <t>Montant TTC</t>
  </si>
  <si>
    <t>Maintenance - Boiler A</t>
  </si>
  <si>
    <t>Diabate Tiemoko
Aide Soudeur
Contrat journalier  - 40h/sem
Date debut: 16/03/2026
HS 15%: 6 heures
HS 50%: 2 heures
HS 75%: 8 heures</t>
  </si>
  <si>
    <t>TVA (18%)</t>
  </si>
  <si>
    <t>Bassey Michael Esin
Opérateur
Contrat journalier  - 40h/sem
Date debut: 16/03/2026
HS 15%: 6 heures
HS 50%: 2 heures
HS 75%: 16 heures</t>
  </si>
  <si>
    <t>Mbengue El Hadj Ousseuno
Manutentionnaire
Contrat journalier  - 40h/sem
Date debut: 16/03/2026
HS 15%: 6 heures
HS 50%: 2 heures
HS 75%: 16 heures</t>
  </si>
  <si>
    <t>Sangaré Salif
Manutentionnaire
Contrat journalier  - 40h/sem
Date debut: 16/03/2026
HS 75%: 16 heures</t>
  </si>
  <si>
    <t>N'Guessan Amani Jean Mickael
Manutensionnaire
Contrat journalier  - 40h/sem
Date debut: 16/03/2026
HS 15%: 6 heures
HS 50%: 2 heures
HS 75%: 16 heures</t>
  </si>
  <si>
    <t>Maintenance - Boiler B</t>
  </si>
  <si>
    <t>Ogunsile Abayomie
Opérateur
Contrat journalier  - 40h/sem
Date debut: 16/03/2026
HS 15%: 6 heures
HS 50%: 2 heures
HS 75%: 16 heures</t>
  </si>
  <si>
    <t>Stephen Nicholas
Opérateur
Contrat journalier  - 40h/sem
Date debut: 16/03/2026
HS 15%: 12 heures
HS 50%: 4 heures
HS 75%: 8 heures</t>
  </si>
  <si>
    <t>Nene Bi Jean Marc
Manutentionnaire
Contrat journalier  - 40h/sem
Date debut: 16/03/2026
HS 75%: 16 heures</t>
  </si>
  <si>
    <t>Sery Charles Lago
Aide Opérateur
Contrat journalier  - 40h/sem
Date debut: 16/03/2026
HS 15%: 12 heures
HS 50%: 4 heures
HS 75%: 8 heures</t>
  </si>
  <si>
    <t>Aniefiok Good Luck Samuel
Helper
Contrat journalier  - 40h/sem
Date debut: 16/03/2026
HS 15%: 6 heures
HS 50%: 2 heures
HS 75%: 8 heures</t>
  </si>
  <si>
    <t>CNSL</t>
  </si>
  <si>
    <t>Coulibaly Moussa
Manutentionnaire
Contrat journalier  - 40h/sem
Date debut: 16/03/2026
HS 15%: 6 heures
HS 50%: 2 heures
HS 75%: 8 heures</t>
  </si>
  <si>
    <t>Kienou Siriki
Manutentionnaire
Contrat journalier  - 40h/sem
Date debut: 16/03/2026
HS 75%: 8 heures</t>
  </si>
  <si>
    <t>Diallo Demba
Manutentionnaire
Contrat journalier  - 40h/sem
Date debut: 16/03/2026</t>
  </si>
  <si>
    <t>Oguntade Oluwatimileyin
Manutentionnaire
Contrat journalier  - 40h/sem
Date debut: 16/03/2026</t>
  </si>
  <si>
    <t>Kouame Emmanuel Sylvestre
Manutentionnaire
Contrat journalier  - 40h/sem
Date debut: 16/03/2026</t>
  </si>
  <si>
    <t>Boukari Bouba
Manutentionnaire
Contrat journalier  - 40h/sem
Date debut: 16/03/2026
HS 15%: 6 heures
HS 50%: 2 heures
HS 75%: 8 heures</t>
  </si>
  <si>
    <t>Kouassi kouakou emmanuel
Manutentionnaire
Contrat journalier  - 40h/sem
Date debut: 16/03/2026
HS 15%: 6 heures
HS 50%: 2 heures</t>
  </si>
  <si>
    <t>Camara Fousseni
Manutentionnaire
Contrat journalier  - 40h/sem
Date debut: 16/03/2026
HS 75%: 8 heures</t>
  </si>
  <si>
    <t>Kane Namory
Manutentionnaire
Contrat journalier  - 40h/sem
Date debut: 16/03/2026
HS 15%: 6 heures
HS 50%: 2 heures
HS 75%: 8 heures</t>
  </si>
  <si>
    <t>Tall Sayouba
Manutentionnaire
Contrat journalier  - 40h/sem
Date debut: 16/03/2026
HS 75%: 16 heures</t>
  </si>
  <si>
    <t>Konan Kouamé Alexander
Manutentionnaire
Contrat journalier  - 40h/sem
Date debut: 16/03/2026
HS 75%: 8 heures</t>
  </si>
  <si>
    <t>Diande Kada
Manutentionnaire
Contrat journalier  - 40h/sem
Date debut: 16/03/2026
HS 75%: 8 heures</t>
  </si>
  <si>
    <t>Sidibe Oumar
Manutentionnaire
Contrat journalier  - 40h/sem
Date debut: 16/03/2026
HS 15%: 6 heures
HS 50%: 2 heures
HS 75%: 8 heures</t>
  </si>
  <si>
    <t>Mmadu Justin Chidiebere
Manutentionnaire
Contrat journalier  - 40h/sem
Date debut: 16/03/2026
HS 15%: 6 heures
HS 50%: 2 heures
HS 75%: 24 heures</t>
  </si>
  <si>
    <t>Gnamou Daniel
Manutentionnaire
Contrat journalier  - 40h/sem
Date debut: 16/03/2026
HS 15%: 6 heures
HS 50%: 2 heures
HS 75%: 24 heures</t>
  </si>
  <si>
    <t>Diande Adama
Manutentionnaire
Contrat journalier  - 40h/sem
Date debut: 16/03/2026
HS 75%: 8 heures</t>
  </si>
  <si>
    <t>Legre Zigo Stephane
Manutentionnaire
Contrat journalier  - 40h/sem
Date debut: 16/03/2026
HS 15%: 12 heures
HS 50%: 4 heures
HS 75%: 32 heures</t>
  </si>
  <si>
    <t>Tall Yaya
Manutentionnaire
Contrat journalier  - 40h/sem
Date debut: 16/03/2026
HS 15%: 6 heures
HS 50%: 2 heures
HS 75%: 8 heures</t>
  </si>
  <si>
    <t>Hammed taoheed
Manutentionnaire
Contrat journalier  - 40h/sem
Date debut: 16/03/2026</t>
  </si>
  <si>
    <t>Kaboré Daouda
Manutentionnaire
Contrat journalier  - 40h/sem
Date debut: 16/03/2026
HS 15%: 6 heures
HS 50%: 2 heures
HS 75%: 8 heures</t>
  </si>
  <si>
    <t>Kane ohi
Manutentionnaire
Contrat journalier  - 40h/sem
Date debut: 16/03/2026
HS 15%: 6 heures
HS 50%: 2 heures
HS 75%: 8 heures</t>
  </si>
  <si>
    <t>Kouassi Lessou Fabrice
Manutentionnaire
Contrat journalier  - 40h/sem
Date debut: 16/03/2026
HS 75%: 16 heures</t>
  </si>
  <si>
    <t>Barry Yacouba
Manutentionnaire
Contrat journalier  - 40h/sem
Date debut: 16/03/2026
HS 15%: 6 heures
HS 50%: 2 heures
HS 75%: 8 heures</t>
  </si>
  <si>
    <t>Sidibé Amara
Manutentionnaire
Contrat journalier  - 40h/sem
Date debut: 16/03/2026
HS 75%: 8 heures</t>
  </si>
  <si>
    <t>Shamo Ibrahim
Manutentionnaire
Contrat journalier  - 40h/sem
Date debut: 16/03/2026
HS 15%: 6 heures
HS 50%: 2 heures
HS 75%: 8 heures</t>
  </si>
  <si>
    <t>Akinpeloye Idowu Seun
Manutentionnaire
Contrat journalier  - 40h/sem
Date debut: 16/03/2026
HS 75%: 8 heures</t>
  </si>
  <si>
    <t>Kané Siafa
Manutentionnaire
Contrat journalier  - 40h/sem
Date debut: 16/03/2026
HS 15%: 6 heures
HS 50%: 2 heures
HS 75%: 8 heures</t>
  </si>
  <si>
    <t>Tall Idrissa
Manutentionnaire
Contrat journalier  - 40h/sem
Date debut: 16/03/2026</t>
  </si>
  <si>
    <t>Tah Bi Tra Arsene
Manutentionnaire
Contrat journalier  - 40h/sem
Date debut: 16/03/2026
HS 75%: 8 heures</t>
  </si>
  <si>
    <t>Chibueze David Ikeji
Manutentionnaire
Contrat journalier  - 40h/sem
Date debut: 16/03/2026
HS 75%: 8 heures</t>
  </si>
  <si>
    <t>Ouédraogo Inoussa
Opérateur
Contrat journalier  - 40h/sem
Date debut: 16/03/2026
HS 75%: 8 heures</t>
  </si>
  <si>
    <t>Irié Bi Irié Odilon
Manutentionnaire
Contrat journalier  - 40h/sem
Date debut: 16/03/2026
HS 15%: 12 heures
HS 50%: 4 heures
HS 75%: 16 heures</t>
  </si>
  <si>
    <t>Kouassi Nathanael
Manutentionnaire
Contrat journalier  - 40h/sem
Date debut: 16/03/2026</t>
  </si>
  <si>
    <t>Yao Bohoussou Noel
Manutentionnaire
Contrat journalier  - 40h/sem
Date debut: 16/03/2026
HS 75%: 8 heures</t>
  </si>
  <si>
    <t>Ouattara Soumaila
Manutentionnaire
Contrat journalier  - 40h/sem
Date debut: 16/03/2026
HS 75%: 8 heures</t>
  </si>
  <si>
    <t>Sahi Douan Paulin
Manutentionnaire
Contrat journalier  - 40h/sem
Date debut: 16/03/2026
HS 75%: 8 heures</t>
  </si>
  <si>
    <t>Dje Bi Boli Constantin
Manutentionnaire
Contrat journalier  - 40h/sem
Date debut: 16/03/2026
HS 15%: 6 heures
HS 50%: 2 heures
HS 75%: 8 heures</t>
  </si>
  <si>
    <t>Sawadogo Rayim
Manutentionnaire
Contrat journalier  - 40h/sem
Date debut: 16/03/2026
HS 75%: 8 heures</t>
  </si>
  <si>
    <t>Zaouli Bi Irié Beranger
Manutentionnaire
Contrat journalier  - 40h/sem
Date debut: 16/03/2026
HS 15%: 6 heures
HS 50%: 2 heures
HS 75%: 8 heures</t>
  </si>
  <si>
    <t>Yao N'Guessan Denis
Manutentionnaire
Contrat journalier  - 40h/sem
Date debut: 16/03/2026</t>
  </si>
  <si>
    <t>Tie bi Djean Ange
Operateur
Contrat journalier  - 40h/sem
Date debut: 16/03/2026
HS 15%: 12 heures
HS 50%: 4 heures
HS 75%: 16 heures</t>
  </si>
  <si>
    <t>Coulibaly Zié Mamadou
Manutentionnaire
Contrat journalier  - 40h/sem
Date debut: 16/03/2026
HS 15%: 6 heures
HS 50%: 2 heures
HS 75%: 16 heures</t>
  </si>
  <si>
    <t>Diallo Boubacary
Manutentionnaire
Contrat journalier  - 40h/sem
Date debut: 16/03/2026</t>
  </si>
  <si>
    <t>Moussa Souleymane
Manutentionnaire
Contrat journalier  - 40h/sem
Date debut: 16/03/2026
HS 75%: 8 heures</t>
  </si>
  <si>
    <t>Ako Will
Manutentionnaire
Contrat journalier  - 40h/sem
Date debut: 16/03/2026
HS 15%: 6 heures
HS 50%: 2 heures
HS 75%: 16 heures</t>
  </si>
  <si>
    <t>Montant HT :</t>
  </si>
  <si>
    <t>TVA :</t>
  </si>
  <si>
    <t>Total TTC :</t>
  </si>
  <si>
    <t>Condition de paiement :</t>
  </si>
  <si>
    <t>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</si>
  <si>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</si>
  <si>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</si>
  <si>
    <t>HN</t>
  </si>
  <si>
    <t>Sans POPS et sans transport</t>
  </si>
  <si>
    <t>Manut</t>
  </si>
  <si>
    <t>Superviseur</t>
  </si>
  <si>
    <t>Heure Std</t>
  </si>
  <si>
    <t>HS15%</t>
  </si>
  <si>
    <t>HS50%</t>
  </si>
  <si>
    <t>HS75%</t>
  </si>
  <si>
    <t>Date de la facture :  2026-03-31</t>
  </si>
  <si>
    <t>Manut.</t>
  </si>
  <si>
    <t>Contrat</t>
  </si>
  <si>
    <t>Total Heures</t>
  </si>
  <si>
    <t>Good</t>
  </si>
  <si>
    <t>somme</t>
  </si>
  <si>
    <t>HS15</t>
  </si>
  <si>
    <t>HS50</t>
  </si>
  <si>
    <t>HS75</t>
  </si>
  <si>
    <t>Better</t>
  </si>
  <si>
    <t>CC</t>
  </si>
  <si>
    <t>1945025 J</t>
  </si>
  <si>
    <t>Toumodi Autoroute du Nord, PK 189</t>
  </si>
  <si>
    <t>30 BP 524 Abidjan 30</t>
  </si>
  <si>
    <t>Toumodi, Côte d'Ivoire</t>
  </si>
  <si>
    <t>Email</t>
  </si>
  <si>
    <t>sarahfranklin.schaar@doradonuts.com</t>
  </si>
  <si>
    <t>24-330-S0106 / 534</t>
  </si>
  <si>
    <t>Facture client</t>
  </si>
  <si>
    <t>ASSISTANCE TECHNIQUE 225 au Capital de 1 000 000 FCFA - Siège Social: Grand Bassam, MockeyVille Lot 23-Ilot 768-BB 250 Grand
Bassam - Tél : +225 07 67 61 88 85 - Email: Contact@at225.com RCCM N° : CI-ABJ-2020-8-01649-Compte Bancaire N° : CI059
01014 122339380001 57 XOF (ECOBANK)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</si>
</sst>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9752A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rgb="FFFF0000"/>
      <name val="Segoe U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0" borderId="1" xfId="0" applyBorder="1"/>
    <xf numFmtId="9" fontId="0" fillId="0" borderId="1" xfId="0" applyNumberFormat="1" applyBorder="1"/>
    <xf numFmtId="0" fontId="5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1" xfId="0" applyFont="1" applyBorder="1"/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6" fillId="0" borderId="0" xfId="1" applyAlignment="1">
      <alignment horizontal="left" vertical="center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1610678</xdr:colOff>
      <xdr:row>0</xdr:row>
      <xdr:rowOff>696754</xdr:rowOff>
    </xdr:to>
    <xdr:pic>
      <xdr:nvPicPr>
        <xdr:cNvPr id="2" name="Picture 1" descr="company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0678" cy="6967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1610678</xdr:colOff>
      <xdr:row>0</xdr:row>
      <xdr:rowOff>696754</xdr:rowOff>
    </xdr:to>
    <xdr:pic>
      <xdr:nvPicPr>
        <xdr:cNvPr id="2" name="Picture 1" descr="company_logo.png">
          <a:extLst>
            <a:ext uri="{FF2B5EF4-FFF2-40B4-BE49-F238E27FC236}">
              <a16:creationId xmlns:a16="http://schemas.microsoft.com/office/drawing/2014/main" id="{FFACB8A4-4354-4874-9671-06C1DD02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0678" cy="6967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0</xdr:rowOff>
    </xdr:from>
    <xdr:to>
      <xdr:col>0</xdr:col>
      <xdr:colOff>2315528</xdr:colOff>
      <xdr:row>0</xdr:row>
      <xdr:rowOff>696754</xdr:rowOff>
    </xdr:to>
    <xdr:pic>
      <xdr:nvPicPr>
        <xdr:cNvPr id="2" name="Picture 1" descr="company_logo.png">
          <a:extLst>
            <a:ext uri="{FF2B5EF4-FFF2-40B4-BE49-F238E27FC236}">
              <a16:creationId xmlns:a16="http://schemas.microsoft.com/office/drawing/2014/main" id="{9D9807EB-7A1D-486D-9C40-6F25D02FC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0"/>
          <a:ext cx="1610678" cy="6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arahfranklin.schaar@doradonu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6"/>
  <sheetViews>
    <sheetView showGridLines="0" topLeftCell="A23" workbookViewId="0">
      <selection activeCell="J29" sqref="J29"/>
    </sheetView>
  </sheetViews>
  <sheetFormatPr baseColWidth="10" defaultColWidth="9.140625" defaultRowHeight="15" x14ac:dyDescent="0.25"/>
  <cols>
    <col min="1" max="2" width="45.7109375" customWidth="1"/>
    <col min="3" max="6" width="10.7109375" customWidth="1"/>
    <col min="7" max="7" width="16.7109375" customWidth="1"/>
    <col min="8" max="8" width="18.7109375" customWidth="1"/>
    <col min="9" max="9" width="12.7109375" customWidth="1"/>
    <col min="10" max="10" width="20.7109375" customWidth="1"/>
  </cols>
  <sheetData>
    <row r="1" spans="1:10" ht="69.95" customHeight="1" x14ac:dyDescent="0.25">
      <c r="B1" s="29" t="s">
        <v>0</v>
      </c>
      <c r="C1" s="29"/>
      <c r="D1" s="29"/>
      <c r="E1" s="29"/>
      <c r="F1" s="29"/>
      <c r="G1" s="29"/>
      <c r="H1" s="29"/>
      <c r="I1" s="29"/>
    </row>
    <row r="2" spans="1:10" ht="18" customHeight="1" x14ac:dyDescent="0.25">
      <c r="B2" s="29"/>
      <c r="C2" s="29"/>
      <c r="D2" s="29"/>
      <c r="E2" s="29"/>
      <c r="F2" s="29"/>
      <c r="G2" s="29"/>
      <c r="H2" s="29"/>
      <c r="I2" s="29"/>
    </row>
    <row r="3" spans="1:10" ht="18" customHeight="1" x14ac:dyDescent="0.25">
      <c r="B3" s="29"/>
      <c r="C3" s="29"/>
      <c r="D3" s="29"/>
      <c r="E3" s="29"/>
      <c r="F3" s="29"/>
      <c r="G3" s="29"/>
      <c r="H3" s="29"/>
      <c r="I3" s="29"/>
    </row>
    <row r="6" spans="1:10" x14ac:dyDescent="0.25">
      <c r="H6" s="1" t="s">
        <v>1</v>
      </c>
      <c r="I6" s="2" t="s">
        <v>2</v>
      </c>
    </row>
    <row r="7" spans="1:10" x14ac:dyDescent="0.25">
      <c r="H7" s="1" t="s">
        <v>3</v>
      </c>
      <c r="I7" s="2"/>
    </row>
    <row r="8" spans="1:10" ht="48" customHeight="1" x14ac:dyDescent="0.25">
      <c r="H8" s="1" t="s">
        <v>4</v>
      </c>
      <c r="I8" s="2" t="s">
        <v>5</v>
      </c>
    </row>
    <row r="10" spans="1:10" x14ac:dyDescent="0.25">
      <c r="A10" s="3" t="s">
        <v>6</v>
      </c>
      <c r="B10" s="2" t="s">
        <v>7</v>
      </c>
      <c r="C10" s="12" t="s">
        <v>81</v>
      </c>
    </row>
    <row r="11" spans="1:10" x14ac:dyDescent="0.25">
      <c r="A11" s="3"/>
      <c r="B11" s="2"/>
      <c r="C11" s="10" t="s">
        <v>80</v>
      </c>
      <c r="D11" s="11">
        <v>0.15</v>
      </c>
      <c r="E11" s="11">
        <v>0.5</v>
      </c>
      <c r="F11" s="11">
        <v>0.75</v>
      </c>
      <c r="G11" s="10"/>
    </row>
    <row r="12" spans="1:10" x14ac:dyDescent="0.25">
      <c r="B12" s="13" t="s">
        <v>82</v>
      </c>
      <c r="C12" s="10">
        <v>816</v>
      </c>
      <c r="D12" s="10">
        <f>C12*1.15</f>
        <v>938.4</v>
      </c>
      <c r="E12" s="10">
        <f>C12*1.5</f>
        <v>1224</v>
      </c>
      <c r="F12" s="10">
        <f>C12*1.75</f>
        <v>1428</v>
      </c>
      <c r="G12" s="10"/>
    </row>
    <row r="13" spans="1:10" x14ac:dyDescent="0.25">
      <c r="B13" s="13" t="s">
        <v>83</v>
      </c>
      <c r="C13" s="10">
        <v>921</v>
      </c>
      <c r="D13" s="10">
        <f>C13*1.15</f>
        <v>1059.1499999999999</v>
      </c>
      <c r="E13" s="10">
        <f>C13*1.5</f>
        <v>1381.5</v>
      </c>
      <c r="F13" s="10">
        <f>C13*1.75</f>
        <v>1611.75</v>
      </c>
      <c r="G13" s="10"/>
    </row>
    <row r="14" spans="1:10" x14ac:dyDescent="0.25">
      <c r="C14" s="10"/>
      <c r="D14" s="10"/>
      <c r="E14" s="10"/>
      <c r="F14" s="10"/>
      <c r="G14" s="10"/>
    </row>
    <row r="16" spans="1:10" x14ac:dyDescent="0.25">
      <c r="A16" s="30" t="s">
        <v>8</v>
      </c>
      <c r="B16" s="30"/>
      <c r="C16" s="4" t="s">
        <v>9</v>
      </c>
      <c r="D16" s="4"/>
      <c r="E16" s="4"/>
      <c r="F16" s="4"/>
      <c r="G16" s="4" t="s">
        <v>10</v>
      </c>
      <c r="H16" s="4" t="s">
        <v>11</v>
      </c>
      <c r="I16" s="4" t="s">
        <v>12</v>
      </c>
      <c r="J16" s="4" t="s">
        <v>13</v>
      </c>
    </row>
    <row r="17" spans="1:11" x14ac:dyDescent="0.25">
      <c r="A17" s="28" t="s">
        <v>14</v>
      </c>
      <c r="B17" s="28"/>
      <c r="C17" s="28"/>
      <c r="D17" s="28"/>
      <c r="E17" s="28"/>
      <c r="F17" s="28"/>
      <c r="G17" s="28"/>
      <c r="H17" s="28"/>
      <c r="I17" s="28"/>
      <c r="J17" s="28"/>
    </row>
    <row r="18" spans="1:11" ht="111.95" customHeight="1" x14ac:dyDescent="0.25">
      <c r="A18" s="26" t="s">
        <v>15</v>
      </c>
      <c r="B18" s="26"/>
      <c r="C18" s="6">
        <v>56</v>
      </c>
      <c r="D18" s="6">
        <v>6</v>
      </c>
      <c r="E18" s="6">
        <v>2</v>
      </c>
      <c r="F18" s="6">
        <v>8</v>
      </c>
      <c r="G18" s="7">
        <v>828.69444444444446</v>
      </c>
      <c r="H18" s="7">
        <v>59666</v>
      </c>
      <c r="I18" s="6" t="s">
        <v>16</v>
      </c>
      <c r="J18" s="7">
        <v>70406</v>
      </c>
    </row>
    <row r="19" spans="1:11" ht="29.25" customHeight="1" x14ac:dyDescent="0.25">
      <c r="A19" s="5"/>
      <c r="B19" s="5"/>
      <c r="C19" s="6">
        <f>$C$12*C18</f>
        <v>45696</v>
      </c>
      <c r="D19" s="6">
        <f>$D$12*D18</f>
        <v>5630.4</v>
      </c>
      <c r="E19" s="6">
        <f>$E$12*E18</f>
        <v>2448</v>
      </c>
      <c r="F19" s="6">
        <f>$F$12*F18</f>
        <v>11424</v>
      </c>
      <c r="G19" s="7"/>
      <c r="H19" s="7">
        <f>C19+D19+E19+F19</f>
        <v>65198.400000000001</v>
      </c>
      <c r="I19" s="6">
        <f>H19*0.18</f>
        <v>11735.712</v>
      </c>
      <c r="J19" s="7">
        <f>H19+I19</f>
        <v>76934.111999999994</v>
      </c>
    </row>
    <row r="20" spans="1:11" ht="111.95" customHeight="1" x14ac:dyDescent="0.25">
      <c r="A20" s="26" t="s">
        <v>17</v>
      </c>
      <c r="B20" s="26"/>
      <c r="C20" s="6">
        <f>80-6-2-16</f>
        <v>56</v>
      </c>
      <c r="D20" s="6">
        <v>6</v>
      </c>
      <c r="E20" s="6">
        <v>2</v>
      </c>
      <c r="F20" s="6">
        <v>16</v>
      </c>
      <c r="G20" s="7">
        <v>975.9</v>
      </c>
      <c r="H20" s="7">
        <v>78072</v>
      </c>
      <c r="I20" s="6" t="s">
        <v>16</v>
      </c>
      <c r="J20" s="7">
        <v>92125</v>
      </c>
    </row>
    <row r="21" spans="1:11" ht="27" customHeight="1" x14ac:dyDescent="0.25">
      <c r="A21" s="5"/>
      <c r="B21" s="5"/>
      <c r="C21" s="6">
        <f>$C$13*C20</f>
        <v>51576</v>
      </c>
      <c r="D21" s="6">
        <f>$D$13*D20</f>
        <v>6354.9</v>
      </c>
      <c r="E21" s="6">
        <f>$E$13*E20</f>
        <v>2763</v>
      </c>
      <c r="F21" s="6">
        <f>$F$13*F20</f>
        <v>25788</v>
      </c>
      <c r="G21" s="7"/>
      <c r="H21" s="7">
        <f>C21+D21+E21+F21</f>
        <v>86481.9</v>
      </c>
      <c r="I21" s="6">
        <f>H21*0.18</f>
        <v>15566.741999999998</v>
      </c>
      <c r="J21" s="7">
        <f>H21+I21</f>
        <v>102048.64199999999</v>
      </c>
    </row>
    <row r="22" spans="1:11" ht="111.95" customHeight="1" x14ac:dyDescent="0.25">
      <c r="A22" s="26" t="s">
        <v>18</v>
      </c>
      <c r="B22" s="26"/>
      <c r="C22" s="6">
        <f>88-6-2-16</f>
        <v>64</v>
      </c>
      <c r="D22" s="6"/>
      <c r="E22" s="6"/>
      <c r="F22" s="6"/>
      <c r="G22" s="7">
        <v>844.89772727272725</v>
      </c>
      <c r="H22" s="7">
        <f>C22*$C$12+6*$D$12+2*$E$12+16*$F$12</f>
        <v>83150.399999999994</v>
      </c>
      <c r="I22" s="6">
        <f>H22*0.18</f>
        <v>14967.071999999998</v>
      </c>
      <c r="J22" s="7">
        <f>H22+I22</f>
        <v>98117.471999999994</v>
      </c>
      <c r="K22" s="7">
        <v>87734</v>
      </c>
    </row>
    <row r="23" spans="1:11" ht="80.099999999999994" customHeight="1" x14ac:dyDescent="0.25">
      <c r="A23" s="26" t="s">
        <v>19</v>
      </c>
      <c r="B23" s="26"/>
      <c r="C23" s="6">
        <v>64</v>
      </c>
      <c r="D23" s="6"/>
      <c r="E23" s="6"/>
      <c r="F23" s="6"/>
      <c r="G23" s="7">
        <v>867.5</v>
      </c>
      <c r="H23" s="7">
        <v>55520</v>
      </c>
      <c r="I23" s="6" t="s">
        <v>16</v>
      </c>
      <c r="J23" s="7">
        <v>65514</v>
      </c>
    </row>
    <row r="24" spans="1:11" ht="111.95" customHeight="1" x14ac:dyDescent="0.25">
      <c r="A24" s="26" t="s">
        <v>20</v>
      </c>
      <c r="B24" s="26"/>
      <c r="C24" s="6">
        <v>88</v>
      </c>
      <c r="D24" s="6"/>
      <c r="E24" s="6"/>
      <c r="F24" s="6"/>
      <c r="G24" s="7">
        <v>844.89772727272725</v>
      </c>
      <c r="H24" s="7">
        <v>74351</v>
      </c>
      <c r="I24" s="6" t="s">
        <v>16</v>
      </c>
      <c r="J24" s="7">
        <v>87734</v>
      </c>
    </row>
    <row r="25" spans="1:11" x14ac:dyDescent="0.25">
      <c r="A25" s="28" t="s">
        <v>21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1" ht="111.95" customHeight="1" x14ac:dyDescent="0.25">
      <c r="A26" s="26" t="s">
        <v>22</v>
      </c>
      <c r="B26" s="26"/>
      <c r="C26" s="6">
        <v>88</v>
      </c>
      <c r="D26" s="6"/>
      <c r="E26" s="6"/>
      <c r="F26" s="6"/>
      <c r="G26" s="7">
        <v>971.39772727272725</v>
      </c>
      <c r="H26" s="7">
        <v>85483</v>
      </c>
      <c r="I26" s="6" t="s">
        <v>16</v>
      </c>
      <c r="J26" s="7">
        <v>100870</v>
      </c>
    </row>
    <row r="27" spans="1:11" ht="111.95" customHeight="1" x14ac:dyDescent="0.25">
      <c r="A27" s="26" t="s">
        <v>23</v>
      </c>
      <c r="B27" s="26"/>
      <c r="C27" s="6">
        <v>88</v>
      </c>
      <c r="D27" s="6"/>
      <c r="E27" s="6"/>
      <c r="F27" s="6"/>
      <c r="G27" s="7">
        <v>940.7954545454545</v>
      </c>
      <c r="H27" s="7">
        <v>82790</v>
      </c>
      <c r="I27" s="6" t="s">
        <v>16</v>
      </c>
      <c r="J27" s="7">
        <v>97692</v>
      </c>
    </row>
    <row r="28" spans="1:11" ht="80.099999999999994" customHeight="1" x14ac:dyDescent="0.25">
      <c r="A28" s="26" t="s">
        <v>24</v>
      </c>
      <c r="B28" s="26"/>
      <c r="C28" s="6">
        <v>72</v>
      </c>
      <c r="D28" s="6"/>
      <c r="E28" s="6"/>
      <c r="F28" s="6"/>
      <c r="G28" s="7">
        <v>861.59722222222217</v>
      </c>
      <c r="H28" s="7">
        <v>62035</v>
      </c>
      <c r="I28" s="6" t="s">
        <v>16</v>
      </c>
      <c r="J28" s="7">
        <v>73201</v>
      </c>
    </row>
    <row r="29" spans="1:11" ht="111.95" customHeight="1" x14ac:dyDescent="0.25">
      <c r="A29" s="26" t="s">
        <v>25</v>
      </c>
      <c r="B29" s="26"/>
      <c r="C29" s="6">
        <v>88</v>
      </c>
      <c r="D29" s="6"/>
      <c r="E29" s="6"/>
      <c r="F29" s="6"/>
      <c r="G29" s="7">
        <v>817.60227272727275</v>
      </c>
      <c r="H29" s="7">
        <v>71949</v>
      </c>
      <c r="I29" s="6" t="s">
        <v>16</v>
      </c>
      <c r="J29" s="7">
        <v>84900</v>
      </c>
    </row>
    <row r="30" spans="1:11" ht="111.95" customHeight="1" x14ac:dyDescent="0.25">
      <c r="A30" s="26" t="s">
        <v>26</v>
      </c>
      <c r="B30" s="26"/>
      <c r="C30" s="6">
        <v>80</v>
      </c>
      <c r="D30" s="6"/>
      <c r="E30" s="6"/>
      <c r="F30" s="6"/>
      <c r="G30" s="7">
        <v>827.8</v>
      </c>
      <c r="H30" s="7">
        <v>66224</v>
      </c>
      <c r="I30" s="6" t="s">
        <v>16</v>
      </c>
      <c r="J30" s="7">
        <v>78144</v>
      </c>
    </row>
    <row r="31" spans="1:11" x14ac:dyDescent="0.25">
      <c r="A31" s="28" t="s">
        <v>27</v>
      </c>
      <c r="B31" s="28"/>
      <c r="C31" s="28"/>
      <c r="D31" s="28"/>
      <c r="E31" s="28"/>
      <c r="F31" s="28"/>
      <c r="G31" s="28"/>
      <c r="H31" s="28"/>
      <c r="I31" s="28"/>
      <c r="J31" s="28"/>
    </row>
    <row r="32" spans="1:11" ht="111.95" customHeight="1" x14ac:dyDescent="0.25">
      <c r="A32" s="26" t="s">
        <v>28</v>
      </c>
      <c r="B32" s="26"/>
      <c r="C32" s="6">
        <v>80</v>
      </c>
      <c r="D32" s="6"/>
      <c r="E32" s="6"/>
      <c r="F32" s="6"/>
      <c r="G32" s="7">
        <v>827.8</v>
      </c>
      <c r="H32" s="7">
        <v>66224</v>
      </c>
      <c r="I32" s="6" t="s">
        <v>16</v>
      </c>
      <c r="J32" s="7">
        <v>78144</v>
      </c>
    </row>
    <row r="33" spans="1:10" ht="80.099999999999994" customHeight="1" x14ac:dyDescent="0.25">
      <c r="A33" s="26" t="s">
        <v>29</v>
      </c>
      <c r="B33" s="26"/>
      <c r="C33" s="6">
        <v>72</v>
      </c>
      <c r="D33" s="6"/>
      <c r="E33" s="6"/>
      <c r="F33" s="6"/>
      <c r="G33" s="7">
        <v>840.09722222222217</v>
      </c>
      <c r="H33" s="7">
        <v>60487</v>
      </c>
      <c r="I33" s="6" t="s">
        <v>16</v>
      </c>
      <c r="J33" s="7">
        <v>71375</v>
      </c>
    </row>
    <row r="34" spans="1:10" ht="63.95" customHeight="1" x14ac:dyDescent="0.25">
      <c r="A34" s="26" t="s">
        <v>30</v>
      </c>
      <c r="B34" s="26"/>
      <c r="C34" s="6">
        <v>8</v>
      </c>
      <c r="D34" s="6"/>
      <c r="E34" s="6"/>
      <c r="F34" s="6"/>
      <c r="G34" s="7">
        <v>819.75</v>
      </c>
      <c r="H34" s="7">
        <v>6558</v>
      </c>
      <c r="I34" s="6" t="s">
        <v>16</v>
      </c>
      <c r="J34" s="7">
        <v>7738</v>
      </c>
    </row>
    <row r="35" spans="1:10" ht="63.95" customHeight="1" x14ac:dyDescent="0.25">
      <c r="A35" s="26" t="s">
        <v>31</v>
      </c>
      <c r="B35" s="26"/>
      <c r="C35" s="6">
        <v>8</v>
      </c>
      <c r="D35" s="6"/>
      <c r="E35" s="6"/>
      <c r="F35" s="6"/>
      <c r="G35" s="7">
        <v>819.75</v>
      </c>
      <c r="H35" s="7">
        <v>6558</v>
      </c>
      <c r="I35" s="6" t="s">
        <v>16</v>
      </c>
      <c r="J35" s="7">
        <v>7738</v>
      </c>
    </row>
    <row r="36" spans="1:10" ht="63.95" customHeight="1" x14ac:dyDescent="0.25">
      <c r="A36" s="26" t="s">
        <v>32</v>
      </c>
      <c r="B36" s="26"/>
      <c r="C36" s="6">
        <v>8</v>
      </c>
      <c r="D36" s="6"/>
      <c r="E36" s="6"/>
      <c r="F36" s="6"/>
      <c r="G36" s="7">
        <v>819.75</v>
      </c>
      <c r="H36" s="7">
        <v>6558</v>
      </c>
      <c r="I36" s="6" t="s">
        <v>16</v>
      </c>
      <c r="J36" s="7">
        <v>7738</v>
      </c>
    </row>
    <row r="37" spans="1:10" ht="111.95" customHeight="1" x14ac:dyDescent="0.25">
      <c r="A37" s="26" t="s">
        <v>33</v>
      </c>
      <c r="B37" s="26"/>
      <c r="C37" s="6">
        <v>80</v>
      </c>
      <c r="D37" s="6"/>
      <c r="E37" s="6"/>
      <c r="F37" s="6"/>
      <c r="G37" s="7">
        <v>827.8</v>
      </c>
      <c r="H37" s="7">
        <v>66224</v>
      </c>
      <c r="I37" s="6" t="s">
        <v>16</v>
      </c>
      <c r="J37" s="7">
        <v>78144</v>
      </c>
    </row>
    <row r="38" spans="1:10" ht="96" customHeight="1" x14ac:dyDescent="0.25">
      <c r="A38" s="26" t="s">
        <v>34</v>
      </c>
      <c r="B38" s="26"/>
      <c r="C38" s="6">
        <v>48</v>
      </c>
      <c r="D38" s="6"/>
      <c r="E38" s="6"/>
      <c r="F38" s="6"/>
      <c r="G38" s="7">
        <v>802.20833333333337</v>
      </c>
      <c r="H38" s="7">
        <v>38506</v>
      </c>
      <c r="I38" s="6" t="s">
        <v>16</v>
      </c>
      <c r="J38" s="7">
        <v>45437</v>
      </c>
    </row>
    <row r="39" spans="1:10" ht="80.099999999999994" customHeight="1" x14ac:dyDescent="0.25">
      <c r="A39" s="26" t="s">
        <v>35</v>
      </c>
      <c r="B39" s="26"/>
      <c r="C39" s="6">
        <v>24</v>
      </c>
      <c r="D39" s="6"/>
      <c r="E39" s="6"/>
      <c r="F39" s="6"/>
      <c r="G39" s="7">
        <v>882.79166666666663</v>
      </c>
      <c r="H39" s="7">
        <v>21187</v>
      </c>
      <c r="I39" s="6" t="s">
        <v>16</v>
      </c>
      <c r="J39" s="7">
        <v>25001</v>
      </c>
    </row>
    <row r="40" spans="1:10" ht="111.95" customHeight="1" x14ac:dyDescent="0.25">
      <c r="A40" s="26" t="s">
        <v>36</v>
      </c>
      <c r="B40" s="26"/>
      <c r="C40" s="6">
        <v>72</v>
      </c>
      <c r="D40" s="6"/>
      <c r="E40" s="6"/>
      <c r="F40" s="6"/>
      <c r="G40" s="7">
        <v>828.69444444444446</v>
      </c>
      <c r="H40" s="7">
        <v>59666</v>
      </c>
      <c r="I40" s="6" t="s">
        <v>16</v>
      </c>
      <c r="J40" s="7">
        <v>70406</v>
      </c>
    </row>
    <row r="41" spans="1:10" ht="80.099999999999994" customHeight="1" x14ac:dyDescent="0.25">
      <c r="A41" s="26" t="s">
        <v>37</v>
      </c>
      <c r="B41" s="26"/>
      <c r="C41" s="6">
        <v>72</v>
      </c>
      <c r="D41" s="6"/>
      <c r="E41" s="6"/>
      <c r="F41" s="6"/>
      <c r="G41" s="7">
        <v>861.40277777777783</v>
      </c>
      <c r="H41" s="7">
        <v>62021</v>
      </c>
      <c r="I41" s="6" t="s">
        <v>16</v>
      </c>
      <c r="J41" s="7">
        <v>73185</v>
      </c>
    </row>
    <row r="42" spans="1:10" ht="80.099999999999994" customHeight="1" x14ac:dyDescent="0.25">
      <c r="A42" s="26" t="s">
        <v>38</v>
      </c>
      <c r="B42" s="26"/>
      <c r="C42" s="6">
        <v>72</v>
      </c>
      <c r="D42" s="6"/>
      <c r="E42" s="6"/>
      <c r="F42" s="6"/>
      <c r="G42" s="7">
        <v>840.09722222222217</v>
      </c>
      <c r="H42" s="7">
        <v>60487</v>
      </c>
      <c r="I42" s="6" t="s">
        <v>16</v>
      </c>
      <c r="J42" s="7">
        <v>71375</v>
      </c>
    </row>
    <row r="43" spans="1:10" ht="80.099999999999994" customHeight="1" x14ac:dyDescent="0.25">
      <c r="A43" s="26" t="s">
        <v>39</v>
      </c>
      <c r="B43" s="26"/>
      <c r="C43" s="6">
        <v>72</v>
      </c>
      <c r="D43" s="6"/>
      <c r="E43" s="6"/>
      <c r="F43" s="6"/>
      <c r="G43" s="7">
        <v>840.09722222222217</v>
      </c>
      <c r="H43" s="7">
        <v>60487</v>
      </c>
      <c r="I43" s="6" t="s">
        <v>16</v>
      </c>
      <c r="J43" s="7">
        <v>71375</v>
      </c>
    </row>
    <row r="44" spans="1:10" ht="111.95" customHeight="1" x14ac:dyDescent="0.25">
      <c r="A44" s="26" t="s">
        <v>40</v>
      </c>
      <c r="B44" s="26"/>
      <c r="C44" s="6">
        <v>80</v>
      </c>
      <c r="D44" s="6"/>
      <c r="E44" s="6"/>
      <c r="F44" s="6"/>
      <c r="G44" s="7">
        <v>827.8</v>
      </c>
      <c r="H44" s="7">
        <v>66224</v>
      </c>
      <c r="I44" s="6" t="s">
        <v>16</v>
      </c>
      <c r="J44" s="7">
        <v>78144</v>
      </c>
    </row>
    <row r="45" spans="1:10" ht="111.95" customHeight="1" x14ac:dyDescent="0.25">
      <c r="A45" s="26" t="s">
        <v>41</v>
      </c>
      <c r="B45" s="26"/>
      <c r="C45" s="6">
        <v>96</v>
      </c>
      <c r="D45" s="6"/>
      <c r="E45" s="6"/>
      <c r="F45" s="6"/>
      <c r="G45" s="7">
        <v>989.80208333333337</v>
      </c>
      <c r="H45" s="7">
        <v>95021</v>
      </c>
      <c r="I45" s="6" t="s">
        <v>16</v>
      </c>
      <c r="J45" s="7">
        <v>112125</v>
      </c>
    </row>
    <row r="46" spans="1:10" ht="111.95" customHeight="1" x14ac:dyDescent="0.25">
      <c r="A46" s="26" t="s">
        <v>42</v>
      </c>
      <c r="B46" s="26"/>
      <c r="C46" s="6">
        <v>88</v>
      </c>
      <c r="D46" s="6"/>
      <c r="E46" s="6"/>
      <c r="F46" s="6"/>
      <c r="G46" s="7">
        <v>994.39772727272725</v>
      </c>
      <c r="H46" s="7">
        <v>87507</v>
      </c>
      <c r="I46" s="6" t="s">
        <v>16</v>
      </c>
      <c r="J46" s="7">
        <v>103258</v>
      </c>
    </row>
    <row r="47" spans="1:10" ht="80.099999999999994" customHeight="1" x14ac:dyDescent="0.25">
      <c r="A47" s="26" t="s">
        <v>43</v>
      </c>
      <c r="B47" s="26"/>
      <c r="C47" s="6">
        <v>32</v>
      </c>
      <c r="D47" s="6"/>
      <c r="E47" s="6"/>
      <c r="F47" s="6"/>
      <c r="G47" s="7">
        <v>867.1875</v>
      </c>
      <c r="H47" s="7">
        <v>27750</v>
      </c>
      <c r="I47" s="6" t="s">
        <v>16</v>
      </c>
      <c r="J47" s="7">
        <v>32745</v>
      </c>
    </row>
    <row r="48" spans="1:10" ht="111.95" customHeight="1" x14ac:dyDescent="0.25">
      <c r="A48" s="26" t="s">
        <v>44</v>
      </c>
      <c r="B48" s="26"/>
      <c r="C48" s="6">
        <v>112</v>
      </c>
      <c r="D48" s="6"/>
      <c r="E48" s="6"/>
      <c r="F48" s="6"/>
      <c r="G48" s="7">
        <v>859.09821428571433</v>
      </c>
      <c r="H48" s="7">
        <v>96219</v>
      </c>
      <c r="I48" s="6" t="s">
        <v>16</v>
      </c>
      <c r="J48" s="7">
        <v>113538</v>
      </c>
    </row>
    <row r="49" spans="1:10" ht="111.95" customHeight="1" x14ac:dyDescent="0.25">
      <c r="A49" s="26" t="s">
        <v>45</v>
      </c>
      <c r="B49" s="26"/>
      <c r="C49" s="6">
        <v>80</v>
      </c>
      <c r="D49" s="6"/>
      <c r="E49" s="6"/>
      <c r="F49" s="6"/>
      <c r="G49" s="7">
        <v>827.8</v>
      </c>
      <c r="H49" s="7">
        <v>66224</v>
      </c>
      <c r="I49" s="6" t="s">
        <v>16</v>
      </c>
      <c r="J49" s="7">
        <v>78144</v>
      </c>
    </row>
    <row r="50" spans="1:10" ht="63.95" customHeight="1" x14ac:dyDescent="0.25">
      <c r="A50" s="26" t="s">
        <v>46</v>
      </c>
      <c r="B50" s="26"/>
      <c r="C50" s="6">
        <v>8</v>
      </c>
      <c r="D50" s="6"/>
      <c r="E50" s="6"/>
      <c r="F50" s="6"/>
      <c r="G50" s="7">
        <v>819.75</v>
      </c>
      <c r="H50" s="7">
        <v>6558</v>
      </c>
      <c r="I50" s="6" t="s">
        <v>16</v>
      </c>
      <c r="J50" s="7">
        <v>7738</v>
      </c>
    </row>
    <row r="51" spans="1:10" ht="111.95" customHeight="1" x14ac:dyDescent="0.25">
      <c r="A51" s="26" t="s">
        <v>47</v>
      </c>
      <c r="B51" s="26"/>
      <c r="C51" s="6">
        <v>64</v>
      </c>
      <c r="D51" s="6"/>
      <c r="E51" s="6"/>
      <c r="F51" s="6"/>
      <c r="G51" s="7">
        <v>954.5</v>
      </c>
      <c r="H51" s="7">
        <v>61088</v>
      </c>
      <c r="I51" s="6" t="s">
        <v>16</v>
      </c>
      <c r="J51" s="7">
        <v>72084</v>
      </c>
    </row>
    <row r="52" spans="1:10" ht="111.95" customHeight="1" x14ac:dyDescent="0.25">
      <c r="A52" s="26" t="s">
        <v>48</v>
      </c>
      <c r="B52" s="26"/>
      <c r="C52" s="6">
        <v>80</v>
      </c>
      <c r="D52" s="6"/>
      <c r="E52" s="6"/>
      <c r="F52" s="6"/>
      <c r="G52" s="7">
        <v>827.8</v>
      </c>
      <c r="H52" s="7">
        <v>66224</v>
      </c>
      <c r="I52" s="6" t="s">
        <v>16</v>
      </c>
      <c r="J52" s="7">
        <v>78144</v>
      </c>
    </row>
    <row r="53" spans="1:10" ht="80.099999999999994" customHeight="1" x14ac:dyDescent="0.25">
      <c r="A53" s="26" t="s">
        <v>49</v>
      </c>
      <c r="B53" s="26"/>
      <c r="C53" s="6">
        <v>80</v>
      </c>
      <c r="D53" s="6"/>
      <c r="E53" s="6"/>
      <c r="F53" s="6"/>
      <c r="G53" s="7">
        <v>857.5</v>
      </c>
      <c r="H53" s="7">
        <v>68600</v>
      </c>
      <c r="I53" s="6" t="s">
        <v>16</v>
      </c>
      <c r="J53" s="7">
        <v>80948</v>
      </c>
    </row>
    <row r="54" spans="1:10" ht="111.95" customHeight="1" x14ac:dyDescent="0.25">
      <c r="A54" s="26" t="s">
        <v>50</v>
      </c>
      <c r="B54" s="26"/>
      <c r="C54" s="6">
        <v>80</v>
      </c>
      <c r="D54" s="6"/>
      <c r="E54" s="6"/>
      <c r="F54" s="6"/>
      <c r="G54" s="7">
        <v>827.8</v>
      </c>
      <c r="H54" s="7">
        <v>66224</v>
      </c>
      <c r="I54" s="6" t="s">
        <v>16</v>
      </c>
      <c r="J54" s="7">
        <v>78144</v>
      </c>
    </row>
    <row r="55" spans="1:10" ht="80.099999999999994" customHeight="1" x14ac:dyDescent="0.25">
      <c r="A55" s="26" t="s">
        <v>51</v>
      </c>
      <c r="B55" s="26"/>
      <c r="C55" s="6">
        <v>56</v>
      </c>
      <c r="D55" s="6"/>
      <c r="E55" s="6"/>
      <c r="F55" s="6"/>
      <c r="G55" s="7">
        <v>846.60714285714289</v>
      </c>
      <c r="H55" s="7">
        <v>47410</v>
      </c>
      <c r="I55" s="6" t="s">
        <v>16</v>
      </c>
      <c r="J55" s="7">
        <v>55944</v>
      </c>
    </row>
    <row r="56" spans="1:10" ht="111.95" customHeight="1" x14ac:dyDescent="0.25">
      <c r="A56" s="26" t="s">
        <v>52</v>
      </c>
      <c r="B56" s="26"/>
      <c r="C56" s="6">
        <v>80</v>
      </c>
      <c r="D56" s="6"/>
      <c r="E56" s="6"/>
      <c r="F56" s="6"/>
      <c r="G56" s="7">
        <v>827.8</v>
      </c>
      <c r="H56" s="7">
        <v>66224</v>
      </c>
      <c r="I56" s="6" t="s">
        <v>16</v>
      </c>
      <c r="J56" s="7">
        <v>78144</v>
      </c>
    </row>
    <row r="57" spans="1:10" ht="80.099999999999994" customHeight="1" x14ac:dyDescent="0.25">
      <c r="A57" s="26" t="s">
        <v>53</v>
      </c>
      <c r="B57" s="26"/>
      <c r="C57" s="6">
        <v>64</v>
      </c>
      <c r="D57" s="6"/>
      <c r="E57" s="6"/>
      <c r="F57" s="6"/>
      <c r="G57" s="7">
        <v>965.90625</v>
      </c>
      <c r="H57" s="7">
        <v>61818</v>
      </c>
      <c r="I57" s="6" t="s">
        <v>16</v>
      </c>
      <c r="J57" s="7">
        <v>72945</v>
      </c>
    </row>
    <row r="58" spans="1:10" ht="111.95" customHeight="1" x14ac:dyDescent="0.25">
      <c r="A58" s="26" t="s">
        <v>54</v>
      </c>
      <c r="B58" s="26"/>
      <c r="C58" s="6">
        <v>80</v>
      </c>
      <c r="D58" s="6"/>
      <c r="E58" s="6"/>
      <c r="F58" s="6"/>
      <c r="G58" s="7">
        <v>949.8</v>
      </c>
      <c r="H58" s="7">
        <v>75984</v>
      </c>
      <c r="I58" s="6" t="s">
        <v>16</v>
      </c>
      <c r="J58" s="7">
        <v>89661</v>
      </c>
    </row>
    <row r="59" spans="1:10" ht="63.95" customHeight="1" x14ac:dyDescent="0.25">
      <c r="A59" s="26" t="s">
        <v>55</v>
      </c>
      <c r="B59" s="26"/>
      <c r="C59" s="6">
        <v>8</v>
      </c>
      <c r="D59" s="6"/>
      <c r="E59" s="6"/>
      <c r="F59" s="6"/>
      <c r="G59" s="7">
        <v>819.75</v>
      </c>
      <c r="H59" s="7">
        <v>6558</v>
      </c>
      <c r="I59" s="6" t="s">
        <v>16</v>
      </c>
      <c r="J59" s="7">
        <v>7738</v>
      </c>
    </row>
    <row r="60" spans="1:10" ht="80.099999999999994" customHeight="1" x14ac:dyDescent="0.25">
      <c r="A60" s="26" t="s">
        <v>56</v>
      </c>
      <c r="B60" s="26"/>
      <c r="C60" s="6">
        <v>72</v>
      </c>
      <c r="D60" s="6"/>
      <c r="E60" s="6"/>
      <c r="F60" s="6"/>
      <c r="G60" s="7">
        <v>840.09722222222217</v>
      </c>
      <c r="H60" s="7">
        <v>60487</v>
      </c>
      <c r="I60" s="6" t="s">
        <v>16</v>
      </c>
      <c r="J60" s="7">
        <v>71375</v>
      </c>
    </row>
    <row r="61" spans="1:10" ht="80.099999999999994" customHeight="1" x14ac:dyDescent="0.25">
      <c r="A61" s="26" t="s">
        <v>57</v>
      </c>
      <c r="B61" s="26"/>
      <c r="C61" s="6">
        <v>56</v>
      </c>
      <c r="D61" s="6"/>
      <c r="E61" s="6"/>
      <c r="F61" s="6"/>
      <c r="G61" s="7">
        <v>846.60714285714289</v>
      </c>
      <c r="H61" s="7">
        <v>47410</v>
      </c>
      <c r="I61" s="6" t="s">
        <v>16</v>
      </c>
      <c r="J61" s="7">
        <v>55944</v>
      </c>
    </row>
    <row r="62" spans="1:10" ht="80.099999999999994" customHeight="1" x14ac:dyDescent="0.25">
      <c r="A62" s="26" t="s">
        <v>58</v>
      </c>
      <c r="B62" s="26"/>
      <c r="C62" s="6">
        <v>40</v>
      </c>
      <c r="D62" s="6"/>
      <c r="E62" s="6"/>
      <c r="F62" s="6"/>
      <c r="G62" s="7">
        <v>985.2</v>
      </c>
      <c r="H62" s="7">
        <v>39408</v>
      </c>
      <c r="I62" s="6" t="s">
        <v>16</v>
      </c>
      <c r="J62" s="7">
        <v>46501</v>
      </c>
    </row>
    <row r="63" spans="1:10" ht="111.95" customHeight="1" x14ac:dyDescent="0.25">
      <c r="A63" s="26" t="s">
        <v>59</v>
      </c>
      <c r="B63" s="26"/>
      <c r="C63" s="6">
        <v>96</v>
      </c>
      <c r="D63" s="6"/>
      <c r="E63" s="6"/>
      <c r="F63" s="6"/>
      <c r="G63" s="7">
        <v>960.60416666666663</v>
      </c>
      <c r="H63" s="7">
        <v>92218</v>
      </c>
      <c r="I63" s="6" t="s">
        <v>16</v>
      </c>
      <c r="J63" s="7">
        <v>108817</v>
      </c>
    </row>
    <row r="64" spans="1:10" ht="63.95" customHeight="1" x14ac:dyDescent="0.25">
      <c r="A64" s="26" t="s">
        <v>60</v>
      </c>
      <c r="B64" s="26"/>
      <c r="C64" s="6">
        <v>16</v>
      </c>
      <c r="D64" s="6"/>
      <c r="E64" s="6"/>
      <c r="F64" s="6"/>
      <c r="G64" s="7">
        <v>819.8125</v>
      </c>
      <c r="H64" s="7">
        <v>13117</v>
      </c>
      <c r="I64" s="6" t="s">
        <v>16</v>
      </c>
      <c r="J64" s="7">
        <v>15478</v>
      </c>
    </row>
    <row r="65" spans="1:10" ht="80.099999999999994" customHeight="1" x14ac:dyDescent="0.25">
      <c r="A65" s="26" t="s">
        <v>61</v>
      </c>
      <c r="B65" s="26"/>
      <c r="C65" s="6">
        <v>40</v>
      </c>
      <c r="D65" s="6"/>
      <c r="E65" s="6"/>
      <c r="F65" s="6"/>
      <c r="G65" s="7">
        <v>857.5</v>
      </c>
      <c r="H65" s="7">
        <v>34300</v>
      </c>
      <c r="I65" s="6" t="s">
        <v>16</v>
      </c>
      <c r="J65" s="7">
        <v>40474</v>
      </c>
    </row>
    <row r="66" spans="1:10" ht="80.099999999999994" customHeight="1" x14ac:dyDescent="0.25">
      <c r="A66" s="26" t="s">
        <v>62</v>
      </c>
      <c r="B66" s="26"/>
      <c r="C66" s="6">
        <v>72</v>
      </c>
      <c r="D66" s="6"/>
      <c r="E66" s="6"/>
      <c r="F66" s="6"/>
      <c r="G66" s="7">
        <v>840.09722222222217</v>
      </c>
      <c r="H66" s="7">
        <v>60487</v>
      </c>
      <c r="I66" s="6" t="s">
        <v>16</v>
      </c>
      <c r="J66" s="7">
        <v>71375</v>
      </c>
    </row>
    <row r="67" spans="1:10" ht="80.099999999999994" customHeight="1" x14ac:dyDescent="0.25">
      <c r="A67" s="26" t="s">
        <v>63</v>
      </c>
      <c r="B67" s="26"/>
      <c r="C67" s="6">
        <v>16</v>
      </c>
      <c r="D67" s="6"/>
      <c r="E67" s="6"/>
      <c r="F67" s="6"/>
      <c r="G67" s="7">
        <v>914.8125</v>
      </c>
      <c r="H67" s="7">
        <v>14637</v>
      </c>
      <c r="I67" s="6" t="s">
        <v>16</v>
      </c>
      <c r="J67" s="7">
        <v>17272</v>
      </c>
    </row>
    <row r="68" spans="1:10" ht="111.95" customHeight="1" x14ac:dyDescent="0.25">
      <c r="A68" s="26" t="s">
        <v>64</v>
      </c>
      <c r="B68" s="26"/>
      <c r="C68" s="6">
        <v>72</v>
      </c>
      <c r="D68" s="6"/>
      <c r="E68" s="6"/>
      <c r="F68" s="6"/>
      <c r="G68" s="7">
        <v>828.69444444444446</v>
      </c>
      <c r="H68" s="7">
        <v>59666</v>
      </c>
      <c r="I68" s="6" t="s">
        <v>16</v>
      </c>
      <c r="J68" s="7">
        <v>70406</v>
      </c>
    </row>
    <row r="69" spans="1:10" ht="80.099999999999994" customHeight="1" x14ac:dyDescent="0.25">
      <c r="A69" s="26" t="s">
        <v>65</v>
      </c>
      <c r="B69" s="26"/>
      <c r="C69" s="6">
        <v>64</v>
      </c>
      <c r="D69" s="6"/>
      <c r="E69" s="6"/>
      <c r="F69" s="6"/>
      <c r="G69" s="7">
        <v>843.5</v>
      </c>
      <c r="H69" s="7">
        <v>53984</v>
      </c>
      <c r="I69" s="6" t="s">
        <v>16</v>
      </c>
      <c r="J69" s="7">
        <v>63701</v>
      </c>
    </row>
    <row r="70" spans="1:10" ht="111.95" customHeight="1" x14ac:dyDescent="0.25">
      <c r="A70" s="26" t="s">
        <v>66</v>
      </c>
      <c r="B70" s="26"/>
      <c r="C70" s="6">
        <v>72</v>
      </c>
      <c r="D70" s="6"/>
      <c r="E70" s="6"/>
      <c r="F70" s="6"/>
      <c r="G70" s="7">
        <v>828.69444444444446</v>
      </c>
      <c r="H70" s="7">
        <v>59666</v>
      </c>
      <c r="I70" s="6" t="s">
        <v>16</v>
      </c>
      <c r="J70" s="7">
        <v>70406</v>
      </c>
    </row>
    <row r="71" spans="1:10" ht="63.95" customHeight="1" x14ac:dyDescent="0.25">
      <c r="A71" s="26" t="s">
        <v>67</v>
      </c>
      <c r="B71" s="26"/>
      <c r="C71" s="6">
        <v>32</v>
      </c>
      <c r="D71" s="6"/>
      <c r="E71" s="6"/>
      <c r="F71" s="6"/>
      <c r="G71" s="7">
        <v>819.8125</v>
      </c>
      <c r="H71" s="7">
        <v>26234</v>
      </c>
      <c r="I71" s="6" t="s">
        <v>16</v>
      </c>
      <c r="J71" s="7">
        <v>30956</v>
      </c>
    </row>
    <row r="72" spans="1:10" ht="111.95" customHeight="1" x14ac:dyDescent="0.25">
      <c r="A72" s="26" t="s">
        <v>68</v>
      </c>
      <c r="B72" s="26"/>
      <c r="C72" s="6">
        <v>96</v>
      </c>
      <c r="D72" s="6"/>
      <c r="E72" s="6"/>
      <c r="F72" s="6"/>
      <c r="G72" s="7">
        <v>960.60416666666663</v>
      </c>
      <c r="H72" s="7">
        <v>92218</v>
      </c>
      <c r="I72" s="6" t="s">
        <v>16</v>
      </c>
      <c r="J72" s="7">
        <v>108817</v>
      </c>
    </row>
    <row r="73" spans="1:10" ht="111.95" customHeight="1" x14ac:dyDescent="0.25">
      <c r="A73" s="26" t="s">
        <v>69</v>
      </c>
      <c r="B73" s="26"/>
      <c r="C73" s="6">
        <v>88</v>
      </c>
      <c r="D73" s="6"/>
      <c r="E73" s="6"/>
      <c r="F73" s="6"/>
      <c r="G73" s="7">
        <v>971.39772727272725</v>
      </c>
      <c r="H73" s="7">
        <v>85483</v>
      </c>
      <c r="I73" s="6" t="s">
        <v>16</v>
      </c>
      <c r="J73" s="7">
        <v>100870</v>
      </c>
    </row>
    <row r="74" spans="1:10" ht="63.95" customHeight="1" x14ac:dyDescent="0.25">
      <c r="A74" s="26" t="s">
        <v>70</v>
      </c>
      <c r="B74" s="26"/>
      <c r="C74" s="6">
        <v>16</v>
      </c>
      <c r="D74" s="6"/>
      <c r="E74" s="6"/>
      <c r="F74" s="6"/>
      <c r="G74" s="7">
        <v>819.8125</v>
      </c>
      <c r="H74" s="7">
        <v>13117</v>
      </c>
      <c r="I74" s="6" t="s">
        <v>16</v>
      </c>
      <c r="J74" s="7">
        <v>15478</v>
      </c>
    </row>
    <row r="75" spans="1:10" ht="80.099999999999994" customHeight="1" x14ac:dyDescent="0.25">
      <c r="A75" s="26" t="s">
        <v>71</v>
      </c>
      <c r="B75" s="26"/>
      <c r="C75" s="6">
        <v>56</v>
      </c>
      <c r="D75" s="6"/>
      <c r="E75" s="6"/>
      <c r="F75" s="6"/>
      <c r="G75" s="7">
        <v>846.60714285714289</v>
      </c>
      <c r="H75" s="7">
        <v>47410</v>
      </c>
      <c r="I75" s="6" t="s">
        <v>16</v>
      </c>
      <c r="J75" s="7">
        <v>55944</v>
      </c>
    </row>
    <row r="76" spans="1:10" ht="111.95" customHeight="1" x14ac:dyDescent="0.25">
      <c r="A76" s="26" t="s">
        <v>72</v>
      </c>
      <c r="B76" s="26"/>
      <c r="C76" s="6">
        <v>88</v>
      </c>
      <c r="D76" s="6"/>
      <c r="E76" s="6"/>
      <c r="F76" s="6"/>
      <c r="G76" s="7">
        <v>844.89772727272725</v>
      </c>
      <c r="H76" s="7">
        <v>74351</v>
      </c>
      <c r="I76" s="6" t="s">
        <v>16</v>
      </c>
      <c r="J76" s="7">
        <v>87734</v>
      </c>
    </row>
    <row r="78" spans="1:10" x14ac:dyDescent="0.25">
      <c r="I78" s="8" t="s">
        <v>73</v>
      </c>
      <c r="J78" s="9">
        <v>3065230</v>
      </c>
    </row>
    <row r="79" spans="1:10" x14ac:dyDescent="0.25">
      <c r="I79" s="8" t="s">
        <v>74</v>
      </c>
      <c r="J79" s="9">
        <v>551738</v>
      </c>
    </row>
    <row r="80" spans="1:10" x14ac:dyDescent="0.25">
      <c r="I80" s="8" t="s">
        <v>75</v>
      </c>
      <c r="J80" s="9">
        <v>3616968</v>
      </c>
    </row>
    <row r="82" spans="1:10" x14ac:dyDescent="0.25">
      <c r="A82" s="1" t="s">
        <v>76</v>
      </c>
      <c r="B82" s="25" t="s">
        <v>77</v>
      </c>
      <c r="C82" s="25"/>
      <c r="D82" s="25"/>
      <c r="E82" s="25"/>
      <c r="F82" s="25"/>
      <c r="G82" s="25"/>
      <c r="H82" s="25"/>
      <c r="I82" s="25"/>
      <c r="J82" s="25"/>
    </row>
    <row r="84" spans="1:10" ht="96" customHeight="1" x14ac:dyDescent="0.25">
      <c r="A84" s="26" t="s">
        <v>78</v>
      </c>
      <c r="B84" s="26"/>
      <c r="C84" s="26"/>
      <c r="D84" s="26"/>
      <c r="E84" s="26"/>
      <c r="F84" s="26"/>
      <c r="G84" s="26"/>
      <c r="H84" s="26"/>
      <c r="I84" s="26"/>
      <c r="J84" s="26"/>
    </row>
    <row r="86" spans="1:10" x14ac:dyDescent="0.25">
      <c r="A86" s="27" t="s">
        <v>79</v>
      </c>
      <c r="B86" s="27"/>
      <c r="C86" s="27"/>
      <c r="D86" s="27"/>
      <c r="E86" s="27"/>
      <c r="F86" s="27"/>
      <c r="G86" s="27"/>
      <c r="H86" s="27"/>
      <c r="I86" s="27"/>
      <c r="J86" s="27"/>
    </row>
  </sheetData>
  <mergeCells count="63">
    <mergeCell ref="B82:J82"/>
    <mergeCell ref="A84:J84"/>
    <mergeCell ref="A86:J86"/>
    <mergeCell ref="A72:B72"/>
    <mergeCell ref="A73:B73"/>
    <mergeCell ref="A74:B74"/>
    <mergeCell ref="A75:B75"/>
    <mergeCell ref="A76:B7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J31"/>
    <mergeCell ref="A22:B22"/>
    <mergeCell ref="A23:B23"/>
    <mergeCell ref="A24:B24"/>
    <mergeCell ref="A25:J25"/>
    <mergeCell ref="A26:B26"/>
    <mergeCell ref="B1:I3"/>
    <mergeCell ref="A16:B16"/>
    <mergeCell ref="A17:J17"/>
    <mergeCell ref="A18:B18"/>
    <mergeCell ref="A20:B20"/>
  </mergeCells>
  <pageMargins left="0.6" right="0.6" top="0.75" bottom="0.75" header="0.3" footer="0.3"/>
  <pageSetup paperSize="9" scale="3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5D92-8C02-462C-BF4B-3276A1015CFC}">
  <sheetPr>
    <pageSetUpPr fitToPage="1"/>
  </sheetPr>
  <dimension ref="A1:N83"/>
  <sheetViews>
    <sheetView showGridLines="0" workbookViewId="0">
      <selection activeCell="E17" sqref="E17"/>
    </sheetView>
  </sheetViews>
  <sheetFormatPr baseColWidth="10" defaultColWidth="9.140625" defaultRowHeight="15" x14ac:dyDescent="0.25"/>
  <cols>
    <col min="1" max="1" width="45.7109375" customWidth="1"/>
    <col min="2" max="2" width="20.42578125" customWidth="1"/>
    <col min="3" max="3" width="11.85546875" customWidth="1"/>
    <col min="4" max="4" width="16.7109375" customWidth="1"/>
    <col min="5" max="5" width="18.7109375" customWidth="1"/>
    <col min="6" max="6" width="12.7109375" customWidth="1"/>
    <col min="7" max="7" width="20.7109375" customWidth="1"/>
  </cols>
  <sheetData>
    <row r="1" spans="1:7" ht="69.95" customHeight="1" x14ac:dyDescent="0.25">
      <c r="B1" s="29" t="s">
        <v>0</v>
      </c>
      <c r="C1" s="29"/>
      <c r="D1" s="29"/>
      <c r="E1" s="29"/>
      <c r="F1" s="29"/>
    </row>
    <row r="2" spans="1:7" ht="18" customHeight="1" x14ac:dyDescent="0.25">
      <c r="B2" s="29"/>
      <c r="C2" s="29"/>
      <c r="D2" s="29"/>
      <c r="E2" s="29"/>
      <c r="F2" s="29"/>
    </row>
    <row r="3" spans="1:7" ht="18" customHeight="1" x14ac:dyDescent="0.25">
      <c r="B3" s="29"/>
      <c r="C3" s="29"/>
      <c r="D3" s="29"/>
      <c r="E3" s="29"/>
      <c r="F3" s="29"/>
    </row>
    <row r="6" spans="1:7" x14ac:dyDescent="0.25">
      <c r="D6" s="14" t="s">
        <v>1</v>
      </c>
      <c r="E6" s="2" t="s">
        <v>2</v>
      </c>
    </row>
    <row r="7" spans="1:7" x14ac:dyDescent="0.25">
      <c r="D7" s="14" t="s">
        <v>3</v>
      </c>
      <c r="E7" s="2"/>
    </row>
    <row r="8" spans="1:7" ht="48" customHeight="1" x14ac:dyDescent="0.25">
      <c r="D8" s="14" t="s">
        <v>4</v>
      </c>
      <c r="E8" s="2" t="s">
        <v>5</v>
      </c>
    </row>
    <row r="10" spans="1:7" x14ac:dyDescent="0.25">
      <c r="A10" s="3" t="s">
        <v>88</v>
      </c>
      <c r="B10" s="2"/>
    </row>
    <row r="11" spans="1:7" x14ac:dyDescent="0.25">
      <c r="A11" s="3"/>
      <c r="B11" s="2"/>
      <c r="C11" s="10"/>
      <c r="D11" s="16" t="s">
        <v>84</v>
      </c>
      <c r="E11" s="16" t="s">
        <v>85</v>
      </c>
      <c r="F11" s="16" t="s">
        <v>86</v>
      </c>
      <c r="G11" s="16" t="s">
        <v>87</v>
      </c>
    </row>
    <row r="12" spans="1:7" x14ac:dyDescent="0.25">
      <c r="A12" s="3"/>
      <c r="B12" s="2"/>
      <c r="C12" s="20" t="s">
        <v>89</v>
      </c>
      <c r="D12" s="21">
        <v>816</v>
      </c>
      <c r="E12" s="21">
        <f>D12*1.15</f>
        <v>938.4</v>
      </c>
      <c r="F12" s="21">
        <f>D12*1.5</f>
        <v>1224</v>
      </c>
      <c r="G12" s="21">
        <f>D12*1.75</f>
        <v>1428</v>
      </c>
    </row>
    <row r="13" spans="1:7" x14ac:dyDescent="0.25">
      <c r="A13" s="3"/>
      <c r="B13" s="2"/>
      <c r="C13" s="22" t="s">
        <v>83</v>
      </c>
      <c r="D13" s="23">
        <v>921</v>
      </c>
      <c r="E13" s="23">
        <f>D13*1.15</f>
        <v>1059.1499999999999</v>
      </c>
      <c r="F13" s="23">
        <f>D13*1.5</f>
        <v>1381.5</v>
      </c>
      <c r="G13" s="23">
        <f>D13*1.75</f>
        <v>1611.75</v>
      </c>
    </row>
    <row r="15" spans="1:7" x14ac:dyDescent="0.25">
      <c r="A15" s="30" t="s">
        <v>8</v>
      </c>
      <c r="B15" s="30"/>
      <c r="C15" s="4" t="s">
        <v>90</v>
      </c>
      <c r="D15" s="4" t="s">
        <v>91</v>
      </c>
      <c r="E15" s="4" t="s">
        <v>11</v>
      </c>
      <c r="F15" s="4" t="s">
        <v>12</v>
      </c>
      <c r="G15" s="4" t="s">
        <v>13</v>
      </c>
    </row>
    <row r="16" spans="1:7" x14ac:dyDescent="0.25">
      <c r="A16" s="28" t="s">
        <v>14</v>
      </c>
      <c r="B16" s="28"/>
      <c r="C16" s="28"/>
      <c r="D16" s="28"/>
      <c r="E16" s="28"/>
      <c r="F16" s="28"/>
      <c r="G16" s="28"/>
    </row>
    <row r="17" spans="1:14" ht="111.95" customHeight="1" x14ac:dyDescent="0.25">
      <c r="A17" s="26" t="s">
        <v>15</v>
      </c>
      <c r="B17" s="26"/>
      <c r="C17" s="15" t="s">
        <v>82</v>
      </c>
      <c r="D17" s="19">
        <v>72</v>
      </c>
      <c r="E17" s="17">
        <f>(D17-6-2-8)*$D$12+6*$E$12+2*$F$12+8*$G$12</f>
        <v>65198.400000000001</v>
      </c>
      <c r="F17" s="15">
        <f>E17*0.18</f>
        <v>11735.712</v>
      </c>
      <c r="G17" s="17">
        <f>E17+F17</f>
        <v>76934.111999999994</v>
      </c>
      <c r="I17" s="18" t="s">
        <v>92</v>
      </c>
    </row>
    <row r="18" spans="1:14" ht="111.95" customHeight="1" x14ac:dyDescent="0.25">
      <c r="A18" s="26" t="s">
        <v>17</v>
      </c>
      <c r="B18" s="26"/>
      <c r="C18" s="15" t="s">
        <v>83</v>
      </c>
      <c r="D18" s="15">
        <v>80</v>
      </c>
      <c r="E18" s="17">
        <f>(D18-6-2-16)*$D$13+6*$E$13+2*$F$13+16*$G$13</f>
        <v>86481.9</v>
      </c>
      <c r="F18" s="15">
        <f t="shared" ref="F18:F27" si="0">E18*0.18</f>
        <v>15566.741999999998</v>
      </c>
      <c r="G18" s="17">
        <f t="shared" ref="G18:G21" si="1">E18+F18</f>
        <v>102048.64199999999</v>
      </c>
      <c r="I18" s="18" t="s">
        <v>92</v>
      </c>
    </row>
    <row r="19" spans="1:14" ht="111.95" customHeight="1" x14ac:dyDescent="0.25">
      <c r="A19" s="26" t="s">
        <v>18</v>
      </c>
      <c r="B19" s="26"/>
      <c r="C19" s="15" t="s">
        <v>82</v>
      </c>
      <c r="D19" s="15">
        <v>88</v>
      </c>
      <c r="E19" s="17">
        <f>(D19-6-2-16)*$D$12+6*$E$12+2*$F$12+16*$G$12</f>
        <v>83150.399999999994</v>
      </c>
      <c r="F19" s="15">
        <f t="shared" si="0"/>
        <v>14967.071999999998</v>
      </c>
      <c r="G19" s="17">
        <f t="shared" si="1"/>
        <v>98117.471999999994</v>
      </c>
      <c r="I19" s="18" t="s">
        <v>92</v>
      </c>
    </row>
    <row r="20" spans="1:14" ht="80.099999999999994" customHeight="1" x14ac:dyDescent="0.25">
      <c r="A20" s="26" t="s">
        <v>19</v>
      </c>
      <c r="B20" s="26"/>
      <c r="C20" s="15" t="s">
        <v>82</v>
      </c>
      <c r="D20" s="15">
        <v>64</v>
      </c>
      <c r="E20" s="17">
        <f>(D20-16)*$D$12+16*$G$12</f>
        <v>62016</v>
      </c>
      <c r="F20" s="15">
        <f t="shared" si="0"/>
        <v>11162.88</v>
      </c>
      <c r="G20" s="17">
        <f t="shared" si="1"/>
        <v>73178.880000000005</v>
      </c>
      <c r="I20" s="18" t="s">
        <v>92</v>
      </c>
    </row>
    <row r="21" spans="1:14" ht="111.95" customHeight="1" x14ac:dyDescent="0.25">
      <c r="A21" s="26" t="s">
        <v>20</v>
      </c>
      <c r="B21" s="26"/>
      <c r="C21" s="15" t="s">
        <v>82</v>
      </c>
      <c r="D21" s="15">
        <v>88</v>
      </c>
      <c r="E21" s="17">
        <f>(D21-6-2-16)*$D$12+6*$E$12+2*$F$12+16*$G$12</f>
        <v>83150.399999999994</v>
      </c>
      <c r="F21" s="15">
        <f t="shared" si="0"/>
        <v>14967.071999999998</v>
      </c>
      <c r="G21" s="17">
        <f t="shared" si="1"/>
        <v>98117.471999999994</v>
      </c>
      <c r="I21" s="24" t="s">
        <v>92</v>
      </c>
    </row>
    <row r="22" spans="1:14" x14ac:dyDescent="0.25">
      <c r="A22" s="31" t="s">
        <v>21</v>
      </c>
      <c r="B22" s="31"/>
      <c r="C22" s="31"/>
      <c r="D22" s="31"/>
      <c r="E22" s="31"/>
      <c r="F22" s="31"/>
      <c r="G22" s="31"/>
      <c r="I22" s="15" t="s">
        <v>94</v>
      </c>
      <c r="J22" s="10" t="s">
        <v>95</v>
      </c>
      <c r="K22" s="10" t="s">
        <v>96</v>
      </c>
      <c r="L22" s="10" t="s">
        <v>93</v>
      </c>
    </row>
    <row r="23" spans="1:14" ht="111.95" customHeight="1" x14ac:dyDescent="0.25">
      <c r="A23" s="26" t="s">
        <v>22</v>
      </c>
      <c r="B23" s="26"/>
      <c r="C23" s="15" t="s">
        <v>83</v>
      </c>
      <c r="D23" s="15">
        <v>88</v>
      </c>
      <c r="E23" s="17">
        <f>(D23-L23)*$D$13+I23*$E$13+J23*$F$13+K23*$G$13</f>
        <v>93849.9</v>
      </c>
      <c r="F23" s="15">
        <f t="shared" si="0"/>
        <v>16892.982</v>
      </c>
      <c r="G23" s="17">
        <f t="shared" ref="G23" si="2">E23+F23</f>
        <v>110742.882</v>
      </c>
      <c r="I23" s="15">
        <v>6</v>
      </c>
      <c r="J23" s="15">
        <v>2</v>
      </c>
      <c r="K23" s="15">
        <v>16</v>
      </c>
      <c r="L23" s="15">
        <f>SUM(I23:K23)</f>
        <v>24</v>
      </c>
      <c r="N23" s="18" t="s">
        <v>97</v>
      </c>
    </row>
    <row r="24" spans="1:14" ht="111.95" customHeight="1" x14ac:dyDescent="0.25">
      <c r="A24" s="26" t="s">
        <v>23</v>
      </c>
      <c r="B24" s="26"/>
      <c r="C24" s="15" t="s">
        <v>83</v>
      </c>
      <c r="D24" s="15">
        <v>88</v>
      </c>
      <c r="E24" s="17">
        <f>(D24-L24)*$D$13+I24*$E$13+J24*$F$13+K24*$G$13</f>
        <v>90073.8</v>
      </c>
      <c r="F24" s="15">
        <f t="shared" si="0"/>
        <v>16213.284</v>
      </c>
      <c r="G24" s="17">
        <f t="shared" ref="G24" si="3">E24+F24</f>
        <v>106287.084</v>
      </c>
      <c r="I24" s="15">
        <v>12</v>
      </c>
      <c r="J24" s="15">
        <v>4</v>
      </c>
      <c r="K24" s="15">
        <v>8</v>
      </c>
      <c r="L24" s="15">
        <f>SUM(I24:K24)</f>
        <v>24</v>
      </c>
      <c r="N24" s="18" t="s">
        <v>97</v>
      </c>
    </row>
    <row r="25" spans="1:14" ht="80.099999999999994" customHeight="1" x14ac:dyDescent="0.25">
      <c r="A25" s="26" t="s">
        <v>24</v>
      </c>
      <c r="B25" s="26"/>
      <c r="C25" s="15" t="s">
        <v>82</v>
      </c>
      <c r="D25" s="15">
        <v>72</v>
      </c>
      <c r="E25" s="17">
        <f>(D25-L25)*$D$12+I25*$E$12+J25*$F$12+K25*$G$12</f>
        <v>68544</v>
      </c>
      <c r="F25" s="15">
        <f t="shared" si="0"/>
        <v>12337.92</v>
      </c>
      <c r="G25" s="17">
        <f t="shared" ref="G25" si="4">E25+F25</f>
        <v>80881.919999999998</v>
      </c>
      <c r="I25" s="15"/>
      <c r="J25" s="15"/>
      <c r="K25" s="15">
        <v>16</v>
      </c>
      <c r="L25" s="15">
        <f t="shared" ref="L25:L27" si="5">SUM(I25:K25)</f>
        <v>16</v>
      </c>
      <c r="N25" s="18" t="s">
        <v>97</v>
      </c>
    </row>
    <row r="26" spans="1:14" ht="111.95" customHeight="1" x14ac:dyDescent="0.25">
      <c r="A26" s="26" t="s">
        <v>25</v>
      </c>
      <c r="B26" s="26"/>
      <c r="C26" s="15" t="s">
        <v>82</v>
      </c>
      <c r="D26" s="15">
        <v>88</v>
      </c>
      <c r="E26" s="17">
        <f t="shared" ref="E26:E27" si="6">(D26-L26)*$D$12+I26*$E$12+J26*$F$12+K26*$G$12</f>
        <v>79804.800000000003</v>
      </c>
      <c r="F26" s="15">
        <f t="shared" si="0"/>
        <v>14364.864</v>
      </c>
      <c r="G26" s="17">
        <f t="shared" ref="G26:G27" si="7">E26+F26</f>
        <v>94169.664000000004</v>
      </c>
      <c r="I26" s="15">
        <v>12</v>
      </c>
      <c r="J26" s="15">
        <v>4</v>
      </c>
      <c r="K26" s="15">
        <v>8</v>
      </c>
      <c r="L26" s="15">
        <f t="shared" si="5"/>
        <v>24</v>
      </c>
      <c r="N26" s="18" t="s">
        <v>97</v>
      </c>
    </row>
    <row r="27" spans="1:14" ht="111.95" customHeight="1" x14ac:dyDescent="0.25">
      <c r="A27" s="26" t="s">
        <v>26</v>
      </c>
      <c r="B27" s="26"/>
      <c r="C27" s="15" t="s">
        <v>82</v>
      </c>
      <c r="D27" s="15">
        <v>80</v>
      </c>
      <c r="E27" s="17">
        <f t="shared" si="6"/>
        <v>71726.399999999994</v>
      </c>
      <c r="F27" s="15">
        <f t="shared" si="0"/>
        <v>12910.751999999999</v>
      </c>
      <c r="G27" s="17">
        <f t="shared" si="7"/>
        <v>84637.151999999987</v>
      </c>
      <c r="I27" s="15">
        <v>6</v>
      </c>
      <c r="J27" s="15">
        <v>2</v>
      </c>
      <c r="K27" s="15">
        <v>8</v>
      </c>
      <c r="L27" s="15">
        <f t="shared" si="5"/>
        <v>16</v>
      </c>
      <c r="N27" s="18" t="s">
        <v>97</v>
      </c>
    </row>
    <row r="28" spans="1:14" x14ac:dyDescent="0.25">
      <c r="A28" s="31" t="s">
        <v>27</v>
      </c>
      <c r="B28" s="31"/>
      <c r="C28" s="31"/>
      <c r="D28" s="31"/>
      <c r="E28" s="31"/>
      <c r="F28" s="31"/>
      <c r="G28" s="31"/>
    </row>
    <row r="29" spans="1:14" ht="111.95" customHeight="1" x14ac:dyDescent="0.25">
      <c r="A29" s="26" t="s">
        <v>28</v>
      </c>
      <c r="B29" s="26"/>
      <c r="C29" s="15" t="s">
        <v>82</v>
      </c>
      <c r="D29" s="15">
        <v>80</v>
      </c>
      <c r="E29" s="17">
        <f t="shared" ref="E29" si="8">(D29-L29)*$D$12+I29*$E$12+J29*$F$12+K29*$G$12</f>
        <v>71726.399999999994</v>
      </c>
      <c r="F29" s="15">
        <f t="shared" ref="F29" si="9">E29*0.18</f>
        <v>12910.751999999999</v>
      </c>
      <c r="G29" s="17">
        <f t="shared" ref="G29" si="10">E29+F29</f>
        <v>84637.151999999987</v>
      </c>
      <c r="I29" s="15">
        <v>6</v>
      </c>
      <c r="J29" s="15">
        <v>2</v>
      </c>
      <c r="K29" s="15">
        <v>8</v>
      </c>
      <c r="L29" s="15">
        <f t="shared" ref="L29" si="11">SUM(I29:K29)</f>
        <v>16</v>
      </c>
    </row>
    <row r="30" spans="1:14" ht="80.099999999999994" customHeight="1" x14ac:dyDescent="0.25">
      <c r="A30" s="26" t="s">
        <v>29</v>
      </c>
      <c r="B30" s="26"/>
      <c r="C30" s="15" t="s">
        <v>82</v>
      </c>
      <c r="D30" s="15">
        <v>72</v>
      </c>
      <c r="E30" s="17">
        <f t="shared" ref="E30:E73" si="12">(D30-L30)*$D$12+I30*$E$12+J30*$F$12+K30*$G$12</f>
        <v>63648</v>
      </c>
      <c r="F30" s="15">
        <f t="shared" ref="F30:F73" si="13">E30*0.18</f>
        <v>11456.64</v>
      </c>
      <c r="G30" s="17">
        <f t="shared" ref="G30:G73" si="14">E30+F30</f>
        <v>75104.639999999999</v>
      </c>
      <c r="I30" s="15"/>
      <c r="J30" s="15"/>
      <c r="K30" s="15">
        <v>8</v>
      </c>
      <c r="L30" s="15">
        <f t="shared" ref="L30:L73" si="15">SUM(I30:K30)</f>
        <v>8</v>
      </c>
    </row>
    <row r="31" spans="1:14" ht="63.95" customHeight="1" x14ac:dyDescent="0.25">
      <c r="A31" s="26" t="s">
        <v>30</v>
      </c>
      <c r="B31" s="26"/>
      <c r="C31" s="15" t="s">
        <v>82</v>
      </c>
      <c r="D31" s="15">
        <v>8</v>
      </c>
      <c r="E31" s="17">
        <f t="shared" si="12"/>
        <v>6528</v>
      </c>
      <c r="F31" s="15">
        <f t="shared" si="13"/>
        <v>1175.04</v>
      </c>
      <c r="G31" s="17">
        <f t="shared" si="14"/>
        <v>7703.04</v>
      </c>
      <c r="I31" s="15"/>
      <c r="J31" s="15"/>
      <c r="K31" s="15"/>
      <c r="L31" s="15">
        <f t="shared" si="15"/>
        <v>0</v>
      </c>
    </row>
    <row r="32" spans="1:14" ht="63.95" customHeight="1" x14ac:dyDescent="0.25">
      <c r="A32" s="26" t="s">
        <v>31</v>
      </c>
      <c r="B32" s="26"/>
      <c r="C32" s="15" t="s">
        <v>82</v>
      </c>
      <c r="D32" s="15">
        <v>8</v>
      </c>
      <c r="E32" s="17">
        <f t="shared" si="12"/>
        <v>6528</v>
      </c>
      <c r="F32" s="15">
        <f t="shared" si="13"/>
        <v>1175.04</v>
      </c>
      <c r="G32" s="17">
        <f t="shared" si="14"/>
        <v>7703.04</v>
      </c>
      <c r="I32" s="15"/>
      <c r="J32" s="15"/>
      <c r="K32" s="15"/>
      <c r="L32" s="15">
        <f t="shared" si="15"/>
        <v>0</v>
      </c>
    </row>
    <row r="33" spans="1:12" ht="63.95" customHeight="1" x14ac:dyDescent="0.25">
      <c r="A33" s="26" t="s">
        <v>32</v>
      </c>
      <c r="B33" s="26"/>
      <c r="C33" s="15" t="s">
        <v>82</v>
      </c>
      <c r="D33" s="15">
        <v>8</v>
      </c>
      <c r="E33" s="17">
        <f t="shared" si="12"/>
        <v>6528</v>
      </c>
      <c r="F33" s="15">
        <f t="shared" si="13"/>
        <v>1175.04</v>
      </c>
      <c r="G33" s="17">
        <f t="shared" si="14"/>
        <v>7703.04</v>
      </c>
      <c r="I33" s="15"/>
      <c r="J33" s="15"/>
      <c r="K33" s="15"/>
      <c r="L33" s="15">
        <f t="shared" si="15"/>
        <v>0</v>
      </c>
    </row>
    <row r="34" spans="1:12" ht="111.95" customHeight="1" x14ac:dyDescent="0.25">
      <c r="A34" s="26" t="s">
        <v>33</v>
      </c>
      <c r="B34" s="26"/>
      <c r="C34" s="15" t="s">
        <v>82</v>
      </c>
      <c r="D34" s="15">
        <v>80</v>
      </c>
      <c r="E34" s="17">
        <f t="shared" si="12"/>
        <v>71726.399999999994</v>
      </c>
      <c r="F34" s="15">
        <f t="shared" si="13"/>
        <v>12910.751999999999</v>
      </c>
      <c r="G34" s="17">
        <f t="shared" si="14"/>
        <v>84637.151999999987</v>
      </c>
      <c r="I34" s="15">
        <v>6</v>
      </c>
      <c r="J34" s="15">
        <v>2</v>
      </c>
      <c r="K34" s="15">
        <v>8</v>
      </c>
      <c r="L34" s="15">
        <f t="shared" si="15"/>
        <v>16</v>
      </c>
    </row>
    <row r="35" spans="1:12" ht="96" customHeight="1" x14ac:dyDescent="0.25">
      <c r="A35" s="26" t="s">
        <v>34</v>
      </c>
      <c r="B35" s="26"/>
      <c r="C35" s="15" t="s">
        <v>82</v>
      </c>
      <c r="D35" s="15">
        <v>48</v>
      </c>
      <c r="E35" s="17">
        <f t="shared" si="12"/>
        <v>40718.400000000001</v>
      </c>
      <c r="F35" s="15">
        <f t="shared" si="13"/>
        <v>7329.3119999999999</v>
      </c>
      <c r="G35" s="17">
        <f t="shared" si="14"/>
        <v>48047.712</v>
      </c>
      <c r="I35" s="15">
        <v>6</v>
      </c>
      <c r="J35" s="15">
        <v>2</v>
      </c>
      <c r="K35" s="15"/>
      <c r="L35" s="15">
        <f t="shared" si="15"/>
        <v>8</v>
      </c>
    </row>
    <row r="36" spans="1:12" ht="80.099999999999994" customHeight="1" x14ac:dyDescent="0.25">
      <c r="A36" s="26" t="s">
        <v>35</v>
      </c>
      <c r="B36" s="26"/>
      <c r="C36" s="15" t="s">
        <v>82</v>
      </c>
      <c r="D36" s="15">
        <v>24</v>
      </c>
      <c r="E36" s="17">
        <f t="shared" si="12"/>
        <v>24480</v>
      </c>
      <c r="F36" s="15">
        <f t="shared" si="13"/>
        <v>4406.3999999999996</v>
      </c>
      <c r="G36" s="17">
        <f t="shared" si="14"/>
        <v>28886.400000000001</v>
      </c>
      <c r="I36" s="15"/>
      <c r="J36" s="15"/>
      <c r="K36" s="15">
        <v>8</v>
      </c>
      <c r="L36" s="15">
        <f t="shared" si="15"/>
        <v>8</v>
      </c>
    </row>
    <row r="37" spans="1:12" ht="111.95" customHeight="1" x14ac:dyDescent="0.25">
      <c r="A37" s="26" t="s">
        <v>36</v>
      </c>
      <c r="B37" s="26"/>
      <c r="C37" s="15" t="s">
        <v>82</v>
      </c>
      <c r="D37" s="15">
        <v>72</v>
      </c>
      <c r="E37" s="17">
        <f t="shared" si="12"/>
        <v>65198.400000000001</v>
      </c>
      <c r="F37" s="15">
        <f t="shared" si="13"/>
        <v>11735.712</v>
      </c>
      <c r="G37" s="17">
        <f t="shared" si="14"/>
        <v>76934.111999999994</v>
      </c>
      <c r="I37" s="15">
        <v>6</v>
      </c>
      <c r="J37" s="15">
        <v>2</v>
      </c>
      <c r="K37" s="15">
        <v>8</v>
      </c>
      <c r="L37" s="15">
        <f t="shared" si="15"/>
        <v>16</v>
      </c>
    </row>
    <row r="38" spans="1:12" ht="80.099999999999994" customHeight="1" x14ac:dyDescent="0.25">
      <c r="A38" s="26" t="s">
        <v>37</v>
      </c>
      <c r="B38" s="26"/>
      <c r="C38" s="15" t="s">
        <v>82</v>
      </c>
      <c r="D38" s="15">
        <v>72</v>
      </c>
      <c r="E38" s="17">
        <f t="shared" si="12"/>
        <v>68544</v>
      </c>
      <c r="F38" s="15">
        <f t="shared" si="13"/>
        <v>12337.92</v>
      </c>
      <c r="G38" s="17">
        <f t="shared" si="14"/>
        <v>80881.919999999998</v>
      </c>
      <c r="I38" s="15"/>
      <c r="J38" s="15"/>
      <c r="K38" s="15">
        <v>16</v>
      </c>
      <c r="L38" s="15">
        <f t="shared" si="15"/>
        <v>16</v>
      </c>
    </row>
    <row r="39" spans="1:12" ht="80.099999999999994" customHeight="1" x14ac:dyDescent="0.25">
      <c r="A39" s="26" t="s">
        <v>38</v>
      </c>
      <c r="B39" s="26"/>
      <c r="C39" s="15" t="s">
        <v>82</v>
      </c>
      <c r="D39" s="15">
        <v>72</v>
      </c>
      <c r="E39" s="17">
        <f t="shared" si="12"/>
        <v>63648</v>
      </c>
      <c r="F39" s="15">
        <f t="shared" si="13"/>
        <v>11456.64</v>
      </c>
      <c r="G39" s="17">
        <f t="shared" si="14"/>
        <v>75104.639999999999</v>
      </c>
      <c r="I39" s="15"/>
      <c r="J39" s="15"/>
      <c r="K39" s="15">
        <v>8</v>
      </c>
      <c r="L39" s="15">
        <f t="shared" si="15"/>
        <v>8</v>
      </c>
    </row>
    <row r="40" spans="1:12" ht="80.099999999999994" customHeight="1" x14ac:dyDescent="0.25">
      <c r="A40" s="26" t="s">
        <v>39</v>
      </c>
      <c r="B40" s="26"/>
      <c r="C40" s="15" t="s">
        <v>82</v>
      </c>
      <c r="D40" s="15">
        <v>72</v>
      </c>
      <c r="E40" s="17">
        <f t="shared" si="12"/>
        <v>63648</v>
      </c>
      <c r="F40" s="15">
        <f t="shared" si="13"/>
        <v>11456.64</v>
      </c>
      <c r="G40" s="17">
        <f t="shared" si="14"/>
        <v>75104.639999999999</v>
      </c>
      <c r="I40" s="15"/>
      <c r="J40" s="15"/>
      <c r="K40" s="15">
        <v>8</v>
      </c>
      <c r="L40" s="15">
        <f t="shared" si="15"/>
        <v>8</v>
      </c>
    </row>
    <row r="41" spans="1:12" ht="111.95" customHeight="1" x14ac:dyDescent="0.25">
      <c r="A41" s="26" t="s">
        <v>40</v>
      </c>
      <c r="B41" s="26"/>
      <c r="C41" s="15" t="s">
        <v>82</v>
      </c>
      <c r="D41" s="15">
        <v>80</v>
      </c>
      <c r="E41" s="17">
        <f t="shared" si="12"/>
        <v>71726.399999999994</v>
      </c>
      <c r="F41" s="15">
        <f t="shared" si="13"/>
        <v>12910.751999999999</v>
      </c>
      <c r="G41" s="17">
        <f t="shared" si="14"/>
        <v>84637.151999999987</v>
      </c>
      <c r="I41" s="15">
        <v>6</v>
      </c>
      <c r="J41" s="15">
        <v>2</v>
      </c>
      <c r="K41" s="15">
        <v>8</v>
      </c>
      <c r="L41" s="15">
        <f t="shared" si="15"/>
        <v>16</v>
      </c>
    </row>
    <row r="42" spans="1:12" ht="111.95" customHeight="1" x14ac:dyDescent="0.25">
      <c r="A42" s="26" t="s">
        <v>41</v>
      </c>
      <c r="B42" s="26"/>
      <c r="C42" s="15" t="s">
        <v>83</v>
      </c>
      <c r="D42" s="15">
        <v>96</v>
      </c>
      <c r="E42" s="17">
        <f>(D42-L42)*$D$13+I42*$E$13+J42*$F$13+K42*$G$13</f>
        <v>106743.9</v>
      </c>
      <c r="F42" s="15">
        <f t="shared" si="13"/>
        <v>19213.901999999998</v>
      </c>
      <c r="G42" s="17">
        <f t="shared" si="14"/>
        <v>125957.802</v>
      </c>
      <c r="I42" s="15">
        <v>6</v>
      </c>
      <c r="J42" s="15">
        <v>2</v>
      </c>
      <c r="K42" s="15">
        <v>24</v>
      </c>
      <c r="L42" s="15">
        <f t="shared" si="15"/>
        <v>32</v>
      </c>
    </row>
    <row r="43" spans="1:12" ht="111.95" customHeight="1" x14ac:dyDescent="0.25">
      <c r="A43" s="26" t="s">
        <v>42</v>
      </c>
      <c r="B43" s="26"/>
      <c r="C43" s="15" t="s">
        <v>83</v>
      </c>
      <c r="D43" s="15">
        <v>88</v>
      </c>
      <c r="E43" s="17">
        <f>(D43-L43)*$D$13+I43*$E$13+J43*$F$13+K43*$G$13</f>
        <v>99375.9</v>
      </c>
      <c r="F43" s="15">
        <f t="shared" si="13"/>
        <v>17887.661999999997</v>
      </c>
      <c r="G43" s="17">
        <f t="shared" si="14"/>
        <v>117263.56199999999</v>
      </c>
      <c r="I43" s="15">
        <v>6</v>
      </c>
      <c r="J43" s="15">
        <v>2</v>
      </c>
      <c r="K43" s="15">
        <v>24</v>
      </c>
      <c r="L43" s="15">
        <f t="shared" si="15"/>
        <v>32</v>
      </c>
    </row>
    <row r="44" spans="1:12" ht="80.099999999999994" customHeight="1" x14ac:dyDescent="0.25">
      <c r="A44" s="26" t="s">
        <v>43</v>
      </c>
      <c r="B44" s="26"/>
      <c r="C44" s="15" t="s">
        <v>82</v>
      </c>
      <c r="D44" s="15">
        <v>32</v>
      </c>
      <c r="E44" s="17">
        <f t="shared" si="12"/>
        <v>31008</v>
      </c>
      <c r="F44" s="15">
        <f t="shared" si="13"/>
        <v>5581.44</v>
      </c>
      <c r="G44" s="17">
        <f t="shared" si="14"/>
        <v>36589.440000000002</v>
      </c>
      <c r="I44" s="15"/>
      <c r="J44" s="15"/>
      <c r="K44" s="15">
        <v>8</v>
      </c>
      <c r="L44" s="15">
        <f t="shared" si="15"/>
        <v>8</v>
      </c>
    </row>
    <row r="45" spans="1:12" ht="111.95" customHeight="1" x14ac:dyDescent="0.25">
      <c r="A45" s="26" t="s">
        <v>44</v>
      </c>
      <c r="B45" s="26"/>
      <c r="C45" s="15" t="s">
        <v>82</v>
      </c>
      <c r="D45" s="15">
        <v>112</v>
      </c>
      <c r="E45" s="17">
        <f t="shared" si="12"/>
        <v>114076.8</v>
      </c>
      <c r="F45" s="15">
        <f t="shared" si="13"/>
        <v>20533.824000000001</v>
      </c>
      <c r="G45" s="17">
        <f t="shared" si="14"/>
        <v>134610.62400000001</v>
      </c>
      <c r="I45" s="15">
        <v>12</v>
      </c>
      <c r="J45" s="15">
        <v>4</v>
      </c>
      <c r="K45" s="15">
        <v>32</v>
      </c>
      <c r="L45" s="15">
        <f t="shared" si="15"/>
        <v>48</v>
      </c>
    </row>
    <row r="46" spans="1:12" ht="111.95" customHeight="1" x14ac:dyDescent="0.25">
      <c r="A46" s="26" t="s">
        <v>45</v>
      </c>
      <c r="B46" s="26"/>
      <c r="C46" s="15" t="s">
        <v>82</v>
      </c>
      <c r="D46" s="15">
        <v>80</v>
      </c>
      <c r="E46" s="17">
        <f t="shared" si="12"/>
        <v>71726.399999999994</v>
      </c>
      <c r="F46" s="15">
        <f t="shared" si="13"/>
        <v>12910.751999999999</v>
      </c>
      <c r="G46" s="17">
        <f t="shared" si="14"/>
        <v>84637.151999999987</v>
      </c>
      <c r="I46" s="15">
        <v>6</v>
      </c>
      <c r="J46" s="15">
        <v>2</v>
      </c>
      <c r="K46" s="15">
        <v>8</v>
      </c>
      <c r="L46" s="15">
        <f t="shared" si="15"/>
        <v>16</v>
      </c>
    </row>
    <row r="47" spans="1:12" ht="63.95" customHeight="1" x14ac:dyDescent="0.25">
      <c r="A47" s="26" t="s">
        <v>46</v>
      </c>
      <c r="B47" s="26"/>
      <c r="C47" s="15" t="s">
        <v>82</v>
      </c>
      <c r="D47" s="15">
        <v>8</v>
      </c>
      <c r="E47" s="17">
        <f t="shared" si="12"/>
        <v>6528</v>
      </c>
      <c r="F47" s="15">
        <f t="shared" si="13"/>
        <v>1175.04</v>
      </c>
      <c r="G47" s="17">
        <f t="shared" si="14"/>
        <v>7703.04</v>
      </c>
      <c r="I47" s="15"/>
      <c r="J47" s="15"/>
      <c r="K47" s="15"/>
      <c r="L47" s="15">
        <f t="shared" si="15"/>
        <v>0</v>
      </c>
    </row>
    <row r="48" spans="1:12" ht="111.95" customHeight="1" x14ac:dyDescent="0.25">
      <c r="A48" s="26" t="s">
        <v>47</v>
      </c>
      <c r="B48" s="26"/>
      <c r="C48" s="15" t="s">
        <v>83</v>
      </c>
      <c r="D48" s="15">
        <v>64</v>
      </c>
      <c r="E48" s="17">
        <f>(D48-L48)*$D$13+I48*$E$13+J48*$F$13+K48*$G$13</f>
        <v>66219.899999999994</v>
      </c>
      <c r="F48" s="15">
        <f t="shared" si="13"/>
        <v>11919.581999999999</v>
      </c>
      <c r="G48" s="17">
        <f t="shared" si="14"/>
        <v>78139.481999999989</v>
      </c>
      <c r="I48" s="15">
        <v>6</v>
      </c>
      <c r="J48" s="15">
        <v>2</v>
      </c>
      <c r="K48" s="15">
        <v>8</v>
      </c>
      <c r="L48" s="15">
        <f t="shared" si="15"/>
        <v>16</v>
      </c>
    </row>
    <row r="49" spans="1:12" ht="111.95" customHeight="1" x14ac:dyDescent="0.25">
      <c r="A49" s="26" t="s">
        <v>48</v>
      </c>
      <c r="B49" s="26"/>
      <c r="C49" s="15" t="s">
        <v>82</v>
      </c>
      <c r="D49" s="15">
        <v>80</v>
      </c>
      <c r="E49" s="17">
        <f t="shared" si="12"/>
        <v>71726.399999999994</v>
      </c>
      <c r="F49" s="15">
        <f t="shared" si="13"/>
        <v>12910.751999999999</v>
      </c>
      <c r="G49" s="17">
        <f t="shared" si="14"/>
        <v>84637.151999999987</v>
      </c>
      <c r="I49" s="15">
        <v>6</v>
      </c>
      <c r="J49" s="15">
        <v>2</v>
      </c>
      <c r="K49" s="15">
        <v>8</v>
      </c>
      <c r="L49" s="15">
        <f t="shared" si="15"/>
        <v>16</v>
      </c>
    </row>
    <row r="50" spans="1:12" ht="80.099999999999994" customHeight="1" x14ac:dyDescent="0.25">
      <c r="A50" s="26" t="s">
        <v>49</v>
      </c>
      <c r="B50" s="26"/>
      <c r="C50" s="15" t="s">
        <v>82</v>
      </c>
      <c r="D50" s="15">
        <v>80</v>
      </c>
      <c r="E50" s="17">
        <f t="shared" si="12"/>
        <v>75072</v>
      </c>
      <c r="F50" s="15">
        <f t="shared" si="13"/>
        <v>13512.96</v>
      </c>
      <c r="G50" s="17">
        <f t="shared" si="14"/>
        <v>88584.959999999992</v>
      </c>
      <c r="I50" s="15"/>
      <c r="J50" s="15"/>
      <c r="K50" s="15">
        <v>16</v>
      </c>
      <c r="L50" s="15">
        <f t="shared" si="15"/>
        <v>16</v>
      </c>
    </row>
    <row r="51" spans="1:12" ht="111.95" customHeight="1" x14ac:dyDescent="0.25">
      <c r="A51" s="26" t="s">
        <v>50</v>
      </c>
      <c r="B51" s="26"/>
      <c r="C51" s="15" t="s">
        <v>82</v>
      </c>
      <c r="D51" s="15">
        <v>80</v>
      </c>
      <c r="E51" s="17">
        <f t="shared" si="12"/>
        <v>71726.399999999994</v>
      </c>
      <c r="F51" s="15">
        <f t="shared" si="13"/>
        <v>12910.751999999999</v>
      </c>
      <c r="G51" s="17">
        <f t="shared" si="14"/>
        <v>84637.151999999987</v>
      </c>
      <c r="I51" s="15">
        <v>6</v>
      </c>
      <c r="J51" s="15">
        <v>2</v>
      </c>
      <c r="K51" s="15">
        <v>8</v>
      </c>
      <c r="L51" s="15">
        <f t="shared" si="15"/>
        <v>16</v>
      </c>
    </row>
    <row r="52" spans="1:12" ht="80.099999999999994" customHeight="1" x14ac:dyDescent="0.25">
      <c r="A52" s="26" t="s">
        <v>51</v>
      </c>
      <c r="B52" s="26"/>
      <c r="C52" s="15" t="s">
        <v>82</v>
      </c>
      <c r="D52" s="15">
        <v>56</v>
      </c>
      <c r="E52" s="17">
        <f t="shared" si="12"/>
        <v>50592</v>
      </c>
      <c r="F52" s="15">
        <f t="shared" si="13"/>
        <v>9106.56</v>
      </c>
      <c r="G52" s="17">
        <f t="shared" si="14"/>
        <v>59698.559999999998</v>
      </c>
      <c r="I52" s="15"/>
      <c r="J52" s="15"/>
      <c r="K52" s="15">
        <v>8</v>
      </c>
      <c r="L52" s="15">
        <f t="shared" si="15"/>
        <v>8</v>
      </c>
    </row>
    <row r="53" spans="1:12" ht="111.95" customHeight="1" x14ac:dyDescent="0.25">
      <c r="A53" s="26" t="s">
        <v>52</v>
      </c>
      <c r="B53" s="26"/>
      <c r="C53" s="15" t="s">
        <v>82</v>
      </c>
      <c r="D53" s="15">
        <v>80</v>
      </c>
      <c r="E53" s="17">
        <f t="shared" si="12"/>
        <v>71726.399999999994</v>
      </c>
      <c r="F53" s="15">
        <f t="shared" si="13"/>
        <v>12910.751999999999</v>
      </c>
      <c r="G53" s="17">
        <f t="shared" si="14"/>
        <v>84637.151999999987</v>
      </c>
      <c r="I53" s="15">
        <v>6</v>
      </c>
      <c r="J53" s="15">
        <v>2</v>
      </c>
      <c r="K53" s="15">
        <v>8</v>
      </c>
      <c r="L53" s="15">
        <f t="shared" si="15"/>
        <v>16</v>
      </c>
    </row>
    <row r="54" spans="1:12" ht="80.099999999999994" customHeight="1" x14ac:dyDescent="0.25">
      <c r="A54" s="26" t="s">
        <v>53</v>
      </c>
      <c r="B54" s="26"/>
      <c r="C54" s="15" t="s">
        <v>83</v>
      </c>
      <c r="D54" s="15">
        <v>64</v>
      </c>
      <c r="E54" s="17">
        <f>(D54-L54)*$D$13+I54*$E$13+J54*$F$13+K54*$G$13</f>
        <v>64470</v>
      </c>
      <c r="F54" s="15">
        <f t="shared" si="13"/>
        <v>11604.6</v>
      </c>
      <c r="G54" s="17">
        <f t="shared" si="14"/>
        <v>76074.600000000006</v>
      </c>
      <c r="I54" s="15"/>
      <c r="J54" s="15"/>
      <c r="K54" s="15">
        <v>8</v>
      </c>
      <c r="L54" s="15">
        <f t="shared" si="15"/>
        <v>8</v>
      </c>
    </row>
    <row r="55" spans="1:12" ht="111.95" customHeight="1" x14ac:dyDescent="0.25">
      <c r="A55" s="26" t="s">
        <v>54</v>
      </c>
      <c r="B55" s="26"/>
      <c r="C55" s="15" t="s">
        <v>83</v>
      </c>
      <c r="D55" s="15">
        <v>80</v>
      </c>
      <c r="E55" s="17">
        <f>(D55-L55)*$D$13+I55*$E$13+J55*$F$13+K55*$G$13</f>
        <v>80955.899999999994</v>
      </c>
      <c r="F55" s="15">
        <f t="shared" si="13"/>
        <v>14572.061999999998</v>
      </c>
      <c r="G55" s="17">
        <f t="shared" si="14"/>
        <v>95527.962</v>
      </c>
      <c r="I55" s="15">
        <v>6</v>
      </c>
      <c r="J55" s="15">
        <v>2</v>
      </c>
      <c r="K55" s="15">
        <v>8</v>
      </c>
      <c r="L55" s="15">
        <f t="shared" si="15"/>
        <v>16</v>
      </c>
    </row>
    <row r="56" spans="1:12" ht="63.95" customHeight="1" x14ac:dyDescent="0.25">
      <c r="A56" s="26" t="s">
        <v>55</v>
      </c>
      <c r="B56" s="26"/>
      <c r="C56" s="15" t="s">
        <v>82</v>
      </c>
      <c r="D56" s="15">
        <v>8</v>
      </c>
      <c r="E56" s="17">
        <f t="shared" si="12"/>
        <v>6528</v>
      </c>
      <c r="F56" s="15">
        <f t="shared" si="13"/>
        <v>1175.04</v>
      </c>
      <c r="G56" s="17">
        <f t="shared" si="14"/>
        <v>7703.04</v>
      </c>
      <c r="I56" s="15"/>
      <c r="J56" s="15"/>
      <c r="K56" s="15"/>
      <c r="L56" s="15">
        <f t="shared" si="15"/>
        <v>0</v>
      </c>
    </row>
    <row r="57" spans="1:12" ht="80.099999999999994" customHeight="1" x14ac:dyDescent="0.25">
      <c r="A57" s="26" t="s">
        <v>56</v>
      </c>
      <c r="B57" s="26"/>
      <c r="C57" s="15" t="s">
        <v>82</v>
      </c>
      <c r="D57" s="15">
        <v>72</v>
      </c>
      <c r="E57" s="17">
        <f t="shared" si="12"/>
        <v>63648</v>
      </c>
      <c r="F57" s="15">
        <f t="shared" si="13"/>
        <v>11456.64</v>
      </c>
      <c r="G57" s="17">
        <f t="shared" si="14"/>
        <v>75104.639999999999</v>
      </c>
      <c r="I57" s="15"/>
      <c r="J57" s="15"/>
      <c r="K57" s="15">
        <v>8</v>
      </c>
      <c r="L57" s="15">
        <f t="shared" si="15"/>
        <v>8</v>
      </c>
    </row>
    <row r="58" spans="1:12" ht="80.099999999999994" customHeight="1" x14ac:dyDescent="0.25">
      <c r="A58" s="26" t="s">
        <v>57</v>
      </c>
      <c r="B58" s="26"/>
      <c r="C58" s="15" t="s">
        <v>82</v>
      </c>
      <c r="D58" s="15">
        <v>56</v>
      </c>
      <c r="E58" s="17">
        <f t="shared" si="12"/>
        <v>50592</v>
      </c>
      <c r="F58" s="15">
        <f t="shared" si="13"/>
        <v>9106.56</v>
      </c>
      <c r="G58" s="17">
        <f t="shared" si="14"/>
        <v>59698.559999999998</v>
      </c>
      <c r="I58" s="15"/>
      <c r="J58" s="15"/>
      <c r="K58" s="15">
        <v>8</v>
      </c>
      <c r="L58" s="15">
        <f t="shared" si="15"/>
        <v>8</v>
      </c>
    </row>
    <row r="59" spans="1:12" ht="80.099999999999994" customHeight="1" x14ac:dyDescent="0.25">
      <c r="A59" s="26" t="s">
        <v>58</v>
      </c>
      <c r="B59" s="26"/>
      <c r="C59" s="15" t="s">
        <v>83</v>
      </c>
      <c r="D59" s="15">
        <v>40</v>
      </c>
      <c r="E59" s="17">
        <f>(D59-L59)*$D$13+I59*$E$13+J59*$F$13+K59*$G$13</f>
        <v>42366</v>
      </c>
      <c r="F59" s="15">
        <f t="shared" si="13"/>
        <v>7625.88</v>
      </c>
      <c r="G59" s="17">
        <f t="shared" si="14"/>
        <v>49991.88</v>
      </c>
      <c r="I59" s="15"/>
      <c r="J59" s="15"/>
      <c r="K59" s="15">
        <v>8</v>
      </c>
      <c r="L59" s="15">
        <f t="shared" si="15"/>
        <v>8</v>
      </c>
    </row>
    <row r="60" spans="1:12" ht="111.95" customHeight="1" x14ac:dyDescent="0.25">
      <c r="A60" s="26" t="s">
        <v>59</v>
      </c>
      <c r="B60" s="26"/>
      <c r="C60" s="15" t="s">
        <v>83</v>
      </c>
      <c r="D60" s="15">
        <v>96</v>
      </c>
      <c r="E60" s="17">
        <f>(D60-L60)*$D$13+I60*$E$13+J60*$F$13+K60*$G$13</f>
        <v>102967.8</v>
      </c>
      <c r="F60" s="15">
        <f t="shared" si="13"/>
        <v>18534.204000000002</v>
      </c>
      <c r="G60" s="17">
        <f t="shared" si="14"/>
        <v>121502.004</v>
      </c>
      <c r="I60" s="15">
        <v>12</v>
      </c>
      <c r="J60" s="15">
        <v>4</v>
      </c>
      <c r="K60" s="15">
        <v>16</v>
      </c>
      <c r="L60" s="15">
        <f t="shared" si="15"/>
        <v>32</v>
      </c>
    </row>
    <row r="61" spans="1:12" ht="63.95" customHeight="1" x14ac:dyDescent="0.25">
      <c r="A61" s="26" t="s">
        <v>60</v>
      </c>
      <c r="B61" s="26"/>
      <c r="C61" s="15" t="s">
        <v>82</v>
      </c>
      <c r="D61" s="15">
        <v>16</v>
      </c>
      <c r="E61" s="17">
        <f t="shared" si="12"/>
        <v>13056</v>
      </c>
      <c r="F61" s="15">
        <f t="shared" si="13"/>
        <v>2350.08</v>
      </c>
      <c r="G61" s="17">
        <f t="shared" si="14"/>
        <v>15406.08</v>
      </c>
      <c r="I61" s="15"/>
      <c r="J61" s="15"/>
      <c r="K61" s="15"/>
      <c r="L61" s="15">
        <f t="shared" si="15"/>
        <v>0</v>
      </c>
    </row>
    <row r="62" spans="1:12" ht="80.099999999999994" customHeight="1" x14ac:dyDescent="0.25">
      <c r="A62" s="26" t="s">
        <v>61</v>
      </c>
      <c r="B62" s="26"/>
      <c r="C62" s="15" t="s">
        <v>82</v>
      </c>
      <c r="D62" s="15">
        <v>40</v>
      </c>
      <c r="E62" s="17">
        <f t="shared" si="12"/>
        <v>37536</v>
      </c>
      <c r="F62" s="15">
        <f t="shared" si="13"/>
        <v>6756.48</v>
      </c>
      <c r="G62" s="17">
        <f t="shared" si="14"/>
        <v>44292.479999999996</v>
      </c>
      <c r="I62" s="15"/>
      <c r="J62" s="15"/>
      <c r="K62" s="15">
        <v>8</v>
      </c>
      <c r="L62" s="15">
        <f t="shared" si="15"/>
        <v>8</v>
      </c>
    </row>
    <row r="63" spans="1:12" ht="80.099999999999994" customHeight="1" x14ac:dyDescent="0.25">
      <c r="A63" s="26" t="s">
        <v>62</v>
      </c>
      <c r="B63" s="26"/>
      <c r="C63" s="15" t="s">
        <v>82</v>
      </c>
      <c r="D63" s="15">
        <v>72</v>
      </c>
      <c r="E63" s="17">
        <f t="shared" si="12"/>
        <v>63648</v>
      </c>
      <c r="F63" s="15">
        <f t="shared" si="13"/>
        <v>11456.64</v>
      </c>
      <c r="G63" s="17">
        <f t="shared" si="14"/>
        <v>75104.639999999999</v>
      </c>
      <c r="I63" s="15"/>
      <c r="J63" s="15"/>
      <c r="K63" s="15">
        <v>8</v>
      </c>
      <c r="L63" s="15">
        <f t="shared" si="15"/>
        <v>8</v>
      </c>
    </row>
    <row r="64" spans="1:12" ht="80.099999999999994" customHeight="1" x14ac:dyDescent="0.25">
      <c r="A64" s="26" t="s">
        <v>63</v>
      </c>
      <c r="B64" s="26"/>
      <c r="C64" s="15" t="s">
        <v>82</v>
      </c>
      <c r="D64" s="15">
        <v>16</v>
      </c>
      <c r="E64" s="17">
        <f t="shared" si="12"/>
        <v>17952</v>
      </c>
      <c r="F64" s="15">
        <f t="shared" si="13"/>
        <v>3231.3599999999997</v>
      </c>
      <c r="G64" s="17">
        <f t="shared" si="14"/>
        <v>21183.360000000001</v>
      </c>
      <c r="I64" s="15"/>
      <c r="J64" s="15"/>
      <c r="K64" s="15">
        <v>8</v>
      </c>
      <c r="L64" s="15">
        <f t="shared" si="15"/>
        <v>8</v>
      </c>
    </row>
    <row r="65" spans="1:12" ht="111.95" customHeight="1" x14ac:dyDescent="0.25">
      <c r="A65" s="26" t="s">
        <v>64</v>
      </c>
      <c r="B65" s="26"/>
      <c r="C65" s="15" t="s">
        <v>82</v>
      </c>
      <c r="D65" s="15">
        <v>72</v>
      </c>
      <c r="E65" s="17">
        <f t="shared" si="12"/>
        <v>65198.400000000001</v>
      </c>
      <c r="F65" s="15">
        <f t="shared" si="13"/>
        <v>11735.712</v>
      </c>
      <c r="G65" s="17">
        <f t="shared" si="14"/>
        <v>76934.111999999994</v>
      </c>
      <c r="I65" s="15">
        <v>6</v>
      </c>
      <c r="J65" s="15">
        <v>2</v>
      </c>
      <c r="K65" s="15">
        <v>8</v>
      </c>
      <c r="L65" s="15">
        <f t="shared" si="15"/>
        <v>16</v>
      </c>
    </row>
    <row r="66" spans="1:12" ht="80.099999999999994" customHeight="1" x14ac:dyDescent="0.25">
      <c r="A66" s="26" t="s">
        <v>65</v>
      </c>
      <c r="B66" s="26"/>
      <c r="C66" s="15" t="s">
        <v>82</v>
      </c>
      <c r="D66" s="15">
        <v>64</v>
      </c>
      <c r="E66" s="17">
        <f t="shared" si="12"/>
        <v>57120</v>
      </c>
      <c r="F66" s="15">
        <f t="shared" si="13"/>
        <v>10281.6</v>
      </c>
      <c r="G66" s="17">
        <f t="shared" si="14"/>
        <v>67401.600000000006</v>
      </c>
      <c r="I66" s="15"/>
      <c r="J66" s="15"/>
      <c r="K66" s="15">
        <v>8</v>
      </c>
      <c r="L66" s="15">
        <f t="shared" si="15"/>
        <v>8</v>
      </c>
    </row>
    <row r="67" spans="1:12" ht="111.95" customHeight="1" x14ac:dyDescent="0.25">
      <c r="A67" s="26" t="s">
        <v>66</v>
      </c>
      <c r="B67" s="26"/>
      <c r="C67" s="15" t="s">
        <v>82</v>
      </c>
      <c r="D67" s="15">
        <v>72</v>
      </c>
      <c r="E67" s="17">
        <f t="shared" si="12"/>
        <v>65198.400000000001</v>
      </c>
      <c r="F67" s="15">
        <f t="shared" si="13"/>
        <v>11735.712</v>
      </c>
      <c r="G67" s="17">
        <f t="shared" si="14"/>
        <v>76934.111999999994</v>
      </c>
      <c r="I67" s="15">
        <v>6</v>
      </c>
      <c r="J67" s="15">
        <v>2</v>
      </c>
      <c r="K67" s="15">
        <v>8</v>
      </c>
      <c r="L67" s="15">
        <f t="shared" si="15"/>
        <v>16</v>
      </c>
    </row>
    <row r="68" spans="1:12" ht="63.95" customHeight="1" x14ac:dyDescent="0.25">
      <c r="A68" s="26" t="s">
        <v>67</v>
      </c>
      <c r="B68" s="26"/>
      <c r="C68" s="15" t="s">
        <v>82</v>
      </c>
      <c r="D68" s="15">
        <v>32</v>
      </c>
      <c r="E68" s="17">
        <f t="shared" si="12"/>
        <v>26112</v>
      </c>
      <c r="F68" s="15">
        <f t="shared" si="13"/>
        <v>4700.16</v>
      </c>
      <c r="G68" s="17">
        <f t="shared" si="14"/>
        <v>30812.16</v>
      </c>
      <c r="I68" s="15"/>
      <c r="J68" s="15"/>
      <c r="K68" s="15"/>
      <c r="L68" s="15">
        <f t="shared" si="15"/>
        <v>0</v>
      </c>
    </row>
    <row r="69" spans="1:12" ht="111.95" customHeight="1" x14ac:dyDescent="0.25">
      <c r="A69" s="26" t="s">
        <v>68</v>
      </c>
      <c r="B69" s="26"/>
      <c r="C69" s="15" t="s">
        <v>83</v>
      </c>
      <c r="D69" s="15">
        <v>96</v>
      </c>
      <c r="E69" s="17">
        <f>(D69-L69)*$D$13+I69*$E$13+J69*$F$13+K69*$G$13</f>
        <v>102967.8</v>
      </c>
      <c r="F69" s="15">
        <f t="shared" si="13"/>
        <v>18534.204000000002</v>
      </c>
      <c r="G69" s="17">
        <f t="shared" si="14"/>
        <v>121502.004</v>
      </c>
      <c r="I69" s="15">
        <v>12</v>
      </c>
      <c r="J69" s="15">
        <v>4</v>
      </c>
      <c r="K69" s="15">
        <v>16</v>
      </c>
      <c r="L69" s="15">
        <f t="shared" si="15"/>
        <v>32</v>
      </c>
    </row>
    <row r="70" spans="1:12" ht="111.95" customHeight="1" x14ac:dyDescent="0.25">
      <c r="A70" s="26" t="s">
        <v>69</v>
      </c>
      <c r="B70" s="26"/>
      <c r="C70" s="15" t="s">
        <v>83</v>
      </c>
      <c r="D70" s="15">
        <v>88</v>
      </c>
      <c r="E70" s="17">
        <f>(D70-L70)*$D$13+I70*$E$13+J70*$F$13+K70*$G$13</f>
        <v>93849.9</v>
      </c>
      <c r="F70" s="15">
        <f t="shared" si="13"/>
        <v>16892.982</v>
      </c>
      <c r="G70" s="17">
        <f t="shared" si="14"/>
        <v>110742.882</v>
      </c>
      <c r="I70" s="15">
        <v>6</v>
      </c>
      <c r="J70" s="15">
        <v>2</v>
      </c>
      <c r="K70" s="15">
        <v>16</v>
      </c>
      <c r="L70" s="15">
        <f t="shared" si="15"/>
        <v>24</v>
      </c>
    </row>
    <row r="71" spans="1:12" ht="63.95" customHeight="1" x14ac:dyDescent="0.25">
      <c r="A71" s="26" t="s">
        <v>70</v>
      </c>
      <c r="B71" s="26"/>
      <c r="C71" s="15" t="s">
        <v>82</v>
      </c>
      <c r="D71" s="15">
        <v>16</v>
      </c>
      <c r="E71" s="17">
        <f t="shared" si="12"/>
        <v>13056</v>
      </c>
      <c r="F71" s="15">
        <f t="shared" si="13"/>
        <v>2350.08</v>
      </c>
      <c r="G71" s="17">
        <f t="shared" si="14"/>
        <v>15406.08</v>
      </c>
      <c r="I71" s="15"/>
      <c r="J71" s="15"/>
      <c r="K71" s="15"/>
      <c r="L71" s="15">
        <f t="shared" si="15"/>
        <v>0</v>
      </c>
    </row>
    <row r="72" spans="1:12" ht="80.099999999999994" customHeight="1" x14ac:dyDescent="0.25">
      <c r="A72" s="26" t="s">
        <v>71</v>
      </c>
      <c r="B72" s="26"/>
      <c r="C72" s="15" t="s">
        <v>82</v>
      </c>
      <c r="D72" s="15">
        <v>56</v>
      </c>
      <c r="E72" s="17">
        <f t="shared" si="12"/>
        <v>50592</v>
      </c>
      <c r="F72" s="15">
        <f t="shared" si="13"/>
        <v>9106.56</v>
      </c>
      <c r="G72" s="17">
        <f t="shared" si="14"/>
        <v>59698.559999999998</v>
      </c>
      <c r="I72" s="15"/>
      <c r="J72" s="15"/>
      <c r="K72" s="15">
        <v>8</v>
      </c>
      <c r="L72" s="15">
        <f t="shared" si="15"/>
        <v>8</v>
      </c>
    </row>
    <row r="73" spans="1:12" ht="111.95" customHeight="1" x14ac:dyDescent="0.25">
      <c r="A73" s="26" t="s">
        <v>72</v>
      </c>
      <c r="B73" s="26"/>
      <c r="C73" s="15" t="s">
        <v>82</v>
      </c>
      <c r="D73" s="15">
        <v>88</v>
      </c>
      <c r="E73" s="17">
        <f t="shared" si="12"/>
        <v>83150.399999999994</v>
      </c>
      <c r="F73" s="15">
        <f t="shared" si="13"/>
        <v>14967.071999999998</v>
      </c>
      <c r="G73" s="17">
        <f t="shared" si="14"/>
        <v>98117.471999999994</v>
      </c>
      <c r="I73" s="15">
        <v>6</v>
      </c>
      <c r="J73" s="15">
        <v>2</v>
      </c>
      <c r="K73" s="15">
        <v>16</v>
      </c>
      <c r="L73" s="15">
        <f t="shared" si="15"/>
        <v>24</v>
      </c>
    </row>
    <row r="75" spans="1:12" x14ac:dyDescent="0.25">
      <c r="F75" s="8" t="s">
        <v>73</v>
      </c>
      <c r="G75" s="9">
        <f>SUM(E17:E73)</f>
        <v>3346130.6999999988</v>
      </c>
    </row>
    <row r="76" spans="1:12" x14ac:dyDescent="0.25">
      <c r="F76" s="8" t="s">
        <v>74</v>
      </c>
      <c r="G76" s="9">
        <f>SUM(F17:F73)</f>
        <v>602303.52599999995</v>
      </c>
    </row>
    <row r="77" spans="1:12" x14ac:dyDescent="0.25">
      <c r="F77" s="8" t="s">
        <v>75</v>
      </c>
      <c r="G77" s="9">
        <f>G75+G76</f>
        <v>3948434.2259999989</v>
      </c>
    </row>
    <row r="79" spans="1:12" x14ac:dyDescent="0.25">
      <c r="A79" s="1" t="s">
        <v>76</v>
      </c>
      <c r="B79" s="25" t="s">
        <v>77</v>
      </c>
      <c r="C79" s="25"/>
      <c r="D79" s="25"/>
      <c r="E79" s="25"/>
      <c r="F79" s="25"/>
      <c r="G79" s="25"/>
    </row>
    <row r="81" spans="1:7" ht="96" customHeight="1" x14ac:dyDescent="0.25">
      <c r="A81" s="26" t="s">
        <v>78</v>
      </c>
      <c r="B81" s="26"/>
      <c r="C81" s="26"/>
      <c r="D81" s="26"/>
      <c r="E81" s="26"/>
      <c r="F81" s="26"/>
      <c r="G81" s="26"/>
    </row>
    <row r="83" spans="1:7" x14ac:dyDescent="0.25">
      <c r="A83" s="27" t="s">
        <v>79</v>
      </c>
      <c r="B83" s="27"/>
      <c r="C83" s="27"/>
      <c r="D83" s="27"/>
      <c r="E83" s="27"/>
      <c r="F83" s="27"/>
      <c r="G83" s="27"/>
    </row>
  </sheetData>
  <mergeCells count="61">
    <mergeCell ref="A19:B19"/>
    <mergeCell ref="B1:F3"/>
    <mergeCell ref="A15:B15"/>
    <mergeCell ref="A16:G16"/>
    <mergeCell ref="A17:B17"/>
    <mergeCell ref="A18:B18"/>
    <mergeCell ref="A31:B31"/>
    <mergeCell ref="A20:B20"/>
    <mergeCell ref="A21:B21"/>
    <mergeCell ref="A23:B23"/>
    <mergeCell ref="A24:B24"/>
    <mergeCell ref="A25:B25"/>
    <mergeCell ref="A26:B26"/>
    <mergeCell ref="A27:B27"/>
    <mergeCell ref="A29:B29"/>
    <mergeCell ref="A30:B30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67:B67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B79:G79"/>
    <mergeCell ref="A81:G81"/>
    <mergeCell ref="A83:G83"/>
    <mergeCell ref="A68:B68"/>
    <mergeCell ref="A69:B69"/>
    <mergeCell ref="A70:B70"/>
    <mergeCell ref="A71:B71"/>
    <mergeCell ref="A72:B72"/>
    <mergeCell ref="A73:B73"/>
  </mergeCells>
  <pageMargins left="0.6" right="0.6" top="0.75" bottom="0.75" header="0.3" footer="0.3"/>
  <pageSetup paperSize="9" scale="4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16AB-A3AA-4D3E-979D-A8A518CACB68}">
  <sheetPr>
    <pageSetUpPr fitToPage="1"/>
  </sheetPr>
  <dimension ref="A1:G98"/>
  <sheetViews>
    <sheetView showGridLines="0" tabSelected="1" topLeftCell="A74" workbookViewId="0">
      <selection activeCell="A99" sqref="A99"/>
    </sheetView>
  </sheetViews>
  <sheetFormatPr baseColWidth="10" defaultColWidth="9.140625" defaultRowHeight="15" x14ac:dyDescent="0.25"/>
  <cols>
    <col min="1" max="1" width="45.7109375" customWidth="1"/>
    <col min="2" max="2" width="20.42578125" customWidth="1"/>
    <col min="3" max="3" width="11.85546875" customWidth="1"/>
    <col min="4" max="4" width="16.7109375" customWidth="1"/>
    <col min="5" max="5" width="18.7109375" customWidth="1"/>
    <col min="6" max="6" width="12.7109375" customWidth="1"/>
    <col min="7" max="7" width="20.7109375" customWidth="1"/>
  </cols>
  <sheetData>
    <row r="1" spans="1:7" ht="69.95" customHeight="1" x14ac:dyDescent="0.25">
      <c r="B1" s="29" t="s">
        <v>0</v>
      </c>
      <c r="C1" s="29"/>
      <c r="D1" s="29"/>
      <c r="E1" s="29"/>
      <c r="F1" s="29"/>
    </row>
    <row r="4" spans="1:7" ht="15" customHeight="1" x14ac:dyDescent="0.25">
      <c r="D4" s="14" t="s">
        <v>1</v>
      </c>
      <c r="E4" s="2" t="s">
        <v>2</v>
      </c>
    </row>
    <row r="5" spans="1:7" ht="15" customHeight="1" x14ac:dyDescent="0.25">
      <c r="D5" s="14" t="s">
        <v>103</v>
      </c>
      <c r="E5" s="32" t="s">
        <v>104</v>
      </c>
    </row>
    <row r="6" spans="1:7" ht="15" customHeight="1" x14ac:dyDescent="0.25">
      <c r="D6" s="14" t="s">
        <v>4</v>
      </c>
      <c r="E6" s="2" t="s">
        <v>100</v>
      </c>
    </row>
    <row r="7" spans="1:7" ht="15" customHeight="1" x14ac:dyDescent="0.25">
      <c r="D7" s="14"/>
      <c r="E7" s="2" t="s">
        <v>101</v>
      </c>
    </row>
    <row r="8" spans="1:7" ht="15" customHeight="1" x14ac:dyDescent="0.25">
      <c r="D8" s="14"/>
      <c r="E8" s="2" t="s">
        <v>102</v>
      </c>
    </row>
    <row r="9" spans="1:7" ht="15" customHeight="1" x14ac:dyDescent="0.25">
      <c r="A9" s="34" t="s">
        <v>106</v>
      </c>
      <c r="D9" s="14" t="s">
        <v>98</v>
      </c>
      <c r="E9" s="2" t="s">
        <v>99</v>
      </c>
    </row>
    <row r="10" spans="1:7" ht="37.5" x14ac:dyDescent="0.25">
      <c r="A10" s="33" t="s">
        <v>105</v>
      </c>
    </row>
    <row r="11" spans="1:7" x14ac:dyDescent="0.25">
      <c r="A11" s="3" t="s">
        <v>88</v>
      </c>
      <c r="B11" s="2"/>
    </row>
    <row r="12" spans="1:7" x14ac:dyDescent="0.25">
      <c r="A12" s="3"/>
      <c r="B12" s="2"/>
      <c r="C12" s="10"/>
      <c r="D12" s="16" t="s">
        <v>84</v>
      </c>
      <c r="E12" s="16" t="s">
        <v>85</v>
      </c>
      <c r="F12" s="16" t="s">
        <v>86</v>
      </c>
      <c r="G12" s="16" t="s">
        <v>87</v>
      </c>
    </row>
    <row r="13" spans="1:7" x14ac:dyDescent="0.25">
      <c r="A13" s="3"/>
      <c r="B13" s="2"/>
      <c r="C13" s="20" t="s">
        <v>89</v>
      </c>
      <c r="D13" s="21">
        <v>816</v>
      </c>
      <c r="E13" s="21">
        <f>D13*1.15</f>
        <v>938.4</v>
      </c>
      <c r="F13" s="21">
        <f>D13*1.5</f>
        <v>1224</v>
      </c>
      <c r="G13" s="21">
        <f>D13*1.75</f>
        <v>1428</v>
      </c>
    </row>
    <row r="14" spans="1:7" x14ac:dyDescent="0.25">
      <c r="A14" s="3"/>
      <c r="B14" s="2"/>
      <c r="C14" s="22" t="s">
        <v>83</v>
      </c>
      <c r="D14" s="23">
        <v>921</v>
      </c>
      <c r="E14" s="23">
        <f>D14*1.15</f>
        <v>1059.1499999999999</v>
      </c>
      <c r="F14" s="23">
        <f>D14*1.5</f>
        <v>1381.5</v>
      </c>
      <c r="G14" s="23">
        <f>D14*1.75</f>
        <v>1611.75</v>
      </c>
    </row>
    <row r="16" spans="1:7" x14ac:dyDescent="0.25">
      <c r="A16" s="30" t="s">
        <v>8</v>
      </c>
      <c r="B16" s="30"/>
      <c r="C16" s="4" t="s">
        <v>90</v>
      </c>
      <c r="D16" s="4" t="s">
        <v>91</v>
      </c>
      <c r="E16" s="4" t="s">
        <v>11</v>
      </c>
      <c r="F16" s="4" t="s">
        <v>12</v>
      </c>
      <c r="G16" s="4" t="s">
        <v>13</v>
      </c>
    </row>
    <row r="17" spans="1:7" x14ac:dyDescent="0.25">
      <c r="A17" s="28" t="s">
        <v>14</v>
      </c>
      <c r="B17" s="28"/>
      <c r="C17" s="28"/>
      <c r="D17" s="28"/>
      <c r="E17" s="28"/>
      <c r="F17" s="28"/>
      <c r="G17" s="28"/>
    </row>
    <row r="18" spans="1:7" ht="111.95" customHeight="1" x14ac:dyDescent="0.25">
      <c r="A18" s="26" t="s">
        <v>15</v>
      </c>
      <c r="B18" s="26"/>
      <c r="C18" s="15" t="s">
        <v>82</v>
      </c>
      <c r="D18" s="19">
        <v>72</v>
      </c>
      <c r="E18" s="17">
        <f>(D18-6-2-8)*$D$13+6*$E$13+2*$F$13+8*$G$13</f>
        <v>65198.400000000001</v>
      </c>
      <c r="F18" s="15">
        <f>E18*0.18</f>
        <v>11735.712</v>
      </c>
      <c r="G18" s="17">
        <f>E18+F18</f>
        <v>76934.111999999994</v>
      </c>
    </row>
    <row r="19" spans="1:7" ht="111.95" customHeight="1" x14ac:dyDescent="0.25">
      <c r="A19" s="26" t="s">
        <v>17</v>
      </c>
      <c r="B19" s="26"/>
      <c r="C19" s="15" t="s">
        <v>83</v>
      </c>
      <c r="D19" s="15">
        <v>80</v>
      </c>
      <c r="E19" s="17">
        <f>(D19-6-2-16)*$D$14+6*$E$14+2*$F$14+16*$G$14</f>
        <v>86481.9</v>
      </c>
      <c r="F19" s="15">
        <f t="shared" ref="F19:F22" si="0">E19*0.18</f>
        <v>15566.741999999998</v>
      </c>
      <c r="G19" s="17">
        <f t="shared" ref="G19:G22" si="1">E19+F19</f>
        <v>102048.64199999999</v>
      </c>
    </row>
    <row r="20" spans="1:7" ht="111.95" customHeight="1" x14ac:dyDescent="0.25">
      <c r="A20" s="26" t="s">
        <v>18</v>
      </c>
      <c r="B20" s="26"/>
      <c r="C20" s="15" t="s">
        <v>82</v>
      </c>
      <c r="D20" s="15">
        <v>88</v>
      </c>
      <c r="E20" s="17">
        <f>(D20-6-2-16)*$D$13+6*$E$13+2*$F$13+16*$G$13</f>
        <v>83150.399999999994</v>
      </c>
      <c r="F20" s="15">
        <f t="shared" si="0"/>
        <v>14967.071999999998</v>
      </c>
      <c r="G20" s="17">
        <f t="shared" si="1"/>
        <v>98117.471999999994</v>
      </c>
    </row>
    <row r="21" spans="1:7" ht="80.099999999999994" customHeight="1" x14ac:dyDescent="0.25">
      <c r="A21" s="26" t="s">
        <v>19</v>
      </c>
      <c r="B21" s="26"/>
      <c r="C21" s="15" t="s">
        <v>82</v>
      </c>
      <c r="D21" s="15">
        <v>64</v>
      </c>
      <c r="E21" s="17">
        <f>(D21-16)*$D$13+16*$G$13</f>
        <v>62016</v>
      </c>
      <c r="F21" s="15">
        <f t="shared" si="0"/>
        <v>11162.88</v>
      </c>
      <c r="G21" s="17">
        <f t="shared" si="1"/>
        <v>73178.880000000005</v>
      </c>
    </row>
    <row r="22" spans="1:7" ht="111.95" customHeight="1" x14ac:dyDescent="0.25">
      <c r="A22" s="26" t="s">
        <v>20</v>
      </c>
      <c r="B22" s="26"/>
      <c r="C22" s="15" t="s">
        <v>82</v>
      </c>
      <c r="D22" s="15">
        <v>88</v>
      </c>
      <c r="E22" s="17">
        <f>(D22-6-2-16)*$D$13+6*$E$13+2*$F$13+16*$G$13</f>
        <v>83150.399999999994</v>
      </c>
      <c r="F22" s="15">
        <f t="shared" si="0"/>
        <v>14967.071999999998</v>
      </c>
      <c r="G22" s="17">
        <f t="shared" si="1"/>
        <v>98117.471999999994</v>
      </c>
    </row>
    <row r="23" spans="1:7" x14ac:dyDescent="0.25">
      <c r="A23" s="31" t="s">
        <v>21</v>
      </c>
      <c r="B23" s="31"/>
      <c r="C23" s="31"/>
      <c r="D23" s="31"/>
      <c r="E23" s="31"/>
      <c r="F23" s="31"/>
      <c r="G23" s="31"/>
    </row>
    <row r="24" spans="1:7" ht="111.95" customHeight="1" x14ac:dyDescent="0.25">
      <c r="A24" s="26" t="s">
        <v>22</v>
      </c>
      <c r="B24" s="26"/>
      <c r="C24" s="15" t="s">
        <v>83</v>
      </c>
      <c r="D24" s="15">
        <v>88</v>
      </c>
      <c r="E24" s="17">
        <v>93849.9</v>
      </c>
      <c r="F24" s="15">
        <v>16892.982</v>
      </c>
      <c r="G24" s="17">
        <v>110742.882</v>
      </c>
    </row>
    <row r="25" spans="1:7" ht="111.95" customHeight="1" x14ac:dyDescent="0.25">
      <c r="A25" s="26" t="s">
        <v>23</v>
      </c>
      <c r="B25" s="26"/>
      <c r="C25" s="15" t="s">
        <v>83</v>
      </c>
      <c r="D25" s="15">
        <v>88</v>
      </c>
      <c r="E25" s="17">
        <v>90073.8</v>
      </c>
      <c r="F25" s="15">
        <v>16213.284</v>
      </c>
      <c r="G25" s="17">
        <v>106287.084</v>
      </c>
    </row>
    <row r="26" spans="1:7" ht="80.099999999999994" customHeight="1" x14ac:dyDescent="0.25">
      <c r="A26" s="26" t="s">
        <v>24</v>
      </c>
      <c r="B26" s="26"/>
      <c r="C26" s="15" t="s">
        <v>82</v>
      </c>
      <c r="D26" s="15">
        <v>72</v>
      </c>
      <c r="E26" s="17">
        <v>68544</v>
      </c>
      <c r="F26" s="15">
        <v>12337.92</v>
      </c>
      <c r="G26" s="17">
        <v>80881.919999999998</v>
      </c>
    </row>
    <row r="27" spans="1:7" ht="111.95" customHeight="1" x14ac:dyDescent="0.25">
      <c r="A27" s="26" t="s">
        <v>25</v>
      </c>
      <c r="B27" s="26"/>
      <c r="C27" s="15" t="s">
        <v>82</v>
      </c>
      <c r="D27" s="15">
        <v>88</v>
      </c>
      <c r="E27" s="17">
        <v>79804.800000000003</v>
      </c>
      <c r="F27" s="15">
        <v>14364.864</v>
      </c>
      <c r="G27" s="17">
        <v>94169.664000000004</v>
      </c>
    </row>
    <row r="28" spans="1:7" ht="111.95" customHeight="1" x14ac:dyDescent="0.25">
      <c r="A28" s="26" t="s">
        <v>26</v>
      </c>
      <c r="B28" s="26"/>
      <c r="C28" s="15" t="s">
        <v>82</v>
      </c>
      <c r="D28" s="15">
        <v>80</v>
      </c>
      <c r="E28" s="17">
        <v>71726.399999999994</v>
      </c>
      <c r="F28" s="15">
        <v>12910.751999999999</v>
      </c>
      <c r="G28" s="17">
        <v>84637.151999999987</v>
      </c>
    </row>
    <row r="29" spans="1:7" x14ac:dyDescent="0.25">
      <c r="A29" s="31" t="s">
        <v>27</v>
      </c>
      <c r="B29" s="31"/>
      <c r="C29" s="31"/>
      <c r="D29" s="31"/>
      <c r="E29" s="31"/>
      <c r="F29" s="31"/>
      <c r="G29" s="31"/>
    </row>
    <row r="30" spans="1:7" ht="111.95" customHeight="1" x14ac:dyDescent="0.25">
      <c r="A30" s="26" t="s">
        <v>28</v>
      </c>
      <c r="B30" s="26"/>
      <c r="C30" s="15" t="s">
        <v>82</v>
      </c>
      <c r="D30" s="15">
        <v>80</v>
      </c>
      <c r="E30" s="17">
        <v>71726.399999999994</v>
      </c>
      <c r="F30" s="15">
        <v>12910.751999999999</v>
      </c>
      <c r="G30" s="17">
        <v>84637.151999999987</v>
      </c>
    </row>
    <row r="31" spans="1:7" ht="80.099999999999994" customHeight="1" x14ac:dyDescent="0.25">
      <c r="A31" s="26" t="s">
        <v>29</v>
      </c>
      <c r="B31" s="26"/>
      <c r="C31" s="15" t="s">
        <v>82</v>
      </c>
      <c r="D31" s="15">
        <v>72</v>
      </c>
      <c r="E31" s="17">
        <v>63648</v>
      </c>
      <c r="F31" s="15">
        <v>11456.64</v>
      </c>
      <c r="G31" s="17">
        <v>75104.639999999999</v>
      </c>
    </row>
    <row r="32" spans="1:7" ht="63.95" customHeight="1" x14ac:dyDescent="0.25">
      <c r="A32" s="26" t="s">
        <v>30</v>
      </c>
      <c r="B32" s="26"/>
      <c r="C32" s="15" t="s">
        <v>82</v>
      </c>
      <c r="D32" s="15">
        <v>8</v>
      </c>
      <c r="E32" s="17">
        <v>6528</v>
      </c>
      <c r="F32" s="15">
        <v>1175.04</v>
      </c>
      <c r="G32" s="17">
        <v>7703.04</v>
      </c>
    </row>
    <row r="33" spans="1:7" ht="63.95" customHeight="1" x14ac:dyDescent="0.25">
      <c r="A33" s="26" t="s">
        <v>31</v>
      </c>
      <c r="B33" s="26"/>
      <c r="C33" s="15" t="s">
        <v>82</v>
      </c>
      <c r="D33" s="15">
        <v>8</v>
      </c>
      <c r="E33" s="17">
        <v>6528</v>
      </c>
      <c r="F33" s="15">
        <v>1175.04</v>
      </c>
      <c r="G33" s="17">
        <v>7703.04</v>
      </c>
    </row>
    <row r="34" spans="1:7" ht="63.95" customHeight="1" x14ac:dyDescent="0.25">
      <c r="A34" s="26" t="s">
        <v>32</v>
      </c>
      <c r="B34" s="26"/>
      <c r="C34" s="15" t="s">
        <v>82</v>
      </c>
      <c r="D34" s="15">
        <v>8</v>
      </c>
      <c r="E34" s="17">
        <v>6528</v>
      </c>
      <c r="F34" s="15">
        <v>1175.04</v>
      </c>
      <c r="G34" s="17">
        <v>7703.04</v>
      </c>
    </row>
    <row r="35" spans="1:7" ht="111.95" customHeight="1" x14ac:dyDescent="0.25">
      <c r="A35" s="26" t="s">
        <v>33</v>
      </c>
      <c r="B35" s="26"/>
      <c r="C35" s="15" t="s">
        <v>82</v>
      </c>
      <c r="D35" s="15">
        <v>80</v>
      </c>
      <c r="E35" s="17">
        <v>71726.399999999994</v>
      </c>
      <c r="F35" s="15">
        <v>12910.751999999999</v>
      </c>
      <c r="G35" s="17">
        <v>84637.151999999987</v>
      </c>
    </row>
    <row r="36" spans="1:7" ht="96" customHeight="1" x14ac:dyDescent="0.25">
      <c r="A36" s="26" t="s">
        <v>34</v>
      </c>
      <c r="B36" s="26"/>
      <c r="C36" s="15" t="s">
        <v>82</v>
      </c>
      <c r="D36" s="15">
        <v>48</v>
      </c>
      <c r="E36" s="17">
        <v>40718.400000000001</v>
      </c>
      <c r="F36" s="15">
        <v>7329.3119999999999</v>
      </c>
      <c r="G36" s="17">
        <v>48047.712</v>
      </c>
    </row>
    <row r="37" spans="1:7" ht="80.099999999999994" customHeight="1" x14ac:dyDescent="0.25">
      <c r="A37" s="26" t="s">
        <v>35</v>
      </c>
      <c r="B37" s="26"/>
      <c r="C37" s="15" t="s">
        <v>82</v>
      </c>
      <c r="D37" s="15">
        <v>24</v>
      </c>
      <c r="E37" s="17">
        <v>24480</v>
      </c>
      <c r="F37" s="15">
        <v>4406.3999999999996</v>
      </c>
      <c r="G37" s="17">
        <v>28886.400000000001</v>
      </c>
    </row>
    <row r="38" spans="1:7" ht="111.95" customHeight="1" x14ac:dyDescent="0.25">
      <c r="A38" s="26" t="s">
        <v>36</v>
      </c>
      <c r="B38" s="26"/>
      <c r="C38" s="15" t="s">
        <v>82</v>
      </c>
      <c r="D38" s="15">
        <v>72</v>
      </c>
      <c r="E38" s="17">
        <v>65198.400000000001</v>
      </c>
      <c r="F38" s="15">
        <v>11735.712</v>
      </c>
      <c r="G38" s="17">
        <v>76934.111999999994</v>
      </c>
    </row>
    <row r="39" spans="1:7" ht="80.099999999999994" customHeight="1" x14ac:dyDescent="0.25">
      <c r="A39" s="26" t="s">
        <v>37</v>
      </c>
      <c r="B39" s="26"/>
      <c r="C39" s="15" t="s">
        <v>82</v>
      </c>
      <c r="D39" s="15">
        <v>72</v>
      </c>
      <c r="E39" s="17">
        <v>68544</v>
      </c>
      <c r="F39" s="15">
        <v>12337.92</v>
      </c>
      <c r="G39" s="17">
        <v>80881.919999999998</v>
      </c>
    </row>
    <row r="40" spans="1:7" ht="80.099999999999994" customHeight="1" x14ac:dyDescent="0.25">
      <c r="A40" s="26" t="s">
        <v>38</v>
      </c>
      <c r="B40" s="26"/>
      <c r="C40" s="15" t="s">
        <v>82</v>
      </c>
      <c r="D40" s="15">
        <v>72</v>
      </c>
      <c r="E40" s="17">
        <v>63648</v>
      </c>
      <c r="F40" s="15">
        <v>11456.64</v>
      </c>
      <c r="G40" s="17">
        <v>75104.639999999999</v>
      </c>
    </row>
    <row r="41" spans="1:7" ht="80.099999999999994" customHeight="1" x14ac:dyDescent="0.25">
      <c r="A41" s="26" t="s">
        <v>39</v>
      </c>
      <c r="B41" s="26"/>
      <c r="C41" s="15" t="s">
        <v>82</v>
      </c>
      <c r="D41" s="15">
        <v>72</v>
      </c>
      <c r="E41" s="17">
        <v>63648</v>
      </c>
      <c r="F41" s="15">
        <v>11456.64</v>
      </c>
      <c r="G41" s="17">
        <v>75104.639999999999</v>
      </c>
    </row>
    <row r="42" spans="1:7" ht="111.95" customHeight="1" x14ac:dyDescent="0.25">
      <c r="A42" s="26" t="s">
        <v>40</v>
      </c>
      <c r="B42" s="26"/>
      <c r="C42" s="15" t="s">
        <v>82</v>
      </c>
      <c r="D42" s="15">
        <v>80</v>
      </c>
      <c r="E42" s="17">
        <v>71726.399999999994</v>
      </c>
      <c r="F42" s="15">
        <v>12910.751999999999</v>
      </c>
      <c r="G42" s="17">
        <v>84637.151999999987</v>
      </c>
    </row>
    <row r="43" spans="1:7" ht="111.95" customHeight="1" x14ac:dyDescent="0.25">
      <c r="A43" s="26" t="s">
        <v>41</v>
      </c>
      <c r="B43" s="26"/>
      <c r="C43" s="15" t="s">
        <v>83</v>
      </c>
      <c r="D43" s="15">
        <v>96</v>
      </c>
      <c r="E43" s="17">
        <v>106743.9</v>
      </c>
      <c r="F43" s="15">
        <v>19213.901999999998</v>
      </c>
      <c r="G43" s="17">
        <v>125957.802</v>
      </c>
    </row>
    <row r="44" spans="1:7" ht="111.95" customHeight="1" x14ac:dyDescent="0.25">
      <c r="A44" s="26" t="s">
        <v>42</v>
      </c>
      <c r="B44" s="26"/>
      <c r="C44" s="15" t="s">
        <v>83</v>
      </c>
      <c r="D44" s="15">
        <v>88</v>
      </c>
      <c r="E44" s="17">
        <v>99375.9</v>
      </c>
      <c r="F44" s="15">
        <v>17887.661999999997</v>
      </c>
      <c r="G44" s="17">
        <v>117263.56199999999</v>
      </c>
    </row>
    <row r="45" spans="1:7" ht="80.099999999999994" customHeight="1" x14ac:dyDescent="0.25">
      <c r="A45" s="26" t="s">
        <v>43</v>
      </c>
      <c r="B45" s="26"/>
      <c r="C45" s="15" t="s">
        <v>82</v>
      </c>
      <c r="D45" s="15">
        <v>32</v>
      </c>
      <c r="E45" s="17">
        <v>31008</v>
      </c>
      <c r="F45" s="15">
        <v>5581.44</v>
      </c>
      <c r="G45" s="17">
        <v>36589.440000000002</v>
      </c>
    </row>
    <row r="46" spans="1:7" ht="111.95" customHeight="1" x14ac:dyDescent="0.25">
      <c r="A46" s="26" t="s">
        <v>44</v>
      </c>
      <c r="B46" s="26"/>
      <c r="C46" s="15" t="s">
        <v>82</v>
      </c>
      <c r="D46" s="15">
        <v>112</v>
      </c>
      <c r="E46" s="17">
        <v>114076.8</v>
      </c>
      <c r="F46" s="15">
        <v>20533.824000000001</v>
      </c>
      <c r="G46" s="17">
        <v>134610.62400000001</v>
      </c>
    </row>
    <row r="47" spans="1:7" ht="111.95" customHeight="1" x14ac:dyDescent="0.25">
      <c r="A47" s="26" t="s">
        <v>45</v>
      </c>
      <c r="B47" s="26"/>
      <c r="C47" s="15" t="s">
        <v>82</v>
      </c>
      <c r="D47" s="15">
        <v>80</v>
      </c>
      <c r="E47" s="17">
        <v>71726.399999999994</v>
      </c>
      <c r="F47" s="15">
        <v>12910.751999999999</v>
      </c>
      <c r="G47" s="17">
        <v>84637.151999999987</v>
      </c>
    </row>
    <row r="48" spans="1:7" ht="63.95" customHeight="1" x14ac:dyDescent="0.25">
      <c r="A48" s="26" t="s">
        <v>46</v>
      </c>
      <c r="B48" s="26"/>
      <c r="C48" s="15" t="s">
        <v>82</v>
      </c>
      <c r="D48" s="15">
        <v>8</v>
      </c>
      <c r="E48" s="17">
        <v>6528</v>
      </c>
      <c r="F48" s="15">
        <v>1175.04</v>
      </c>
      <c r="G48" s="17">
        <v>7703.04</v>
      </c>
    </row>
    <row r="49" spans="1:7" ht="111.95" customHeight="1" x14ac:dyDescent="0.25">
      <c r="A49" s="26" t="s">
        <v>47</v>
      </c>
      <c r="B49" s="26"/>
      <c r="C49" s="15" t="s">
        <v>83</v>
      </c>
      <c r="D49" s="15">
        <v>64</v>
      </c>
      <c r="E49" s="17">
        <v>66219.899999999994</v>
      </c>
      <c r="F49" s="15">
        <v>11919.581999999999</v>
      </c>
      <c r="G49" s="17">
        <v>78139.481999999989</v>
      </c>
    </row>
    <row r="50" spans="1:7" ht="111.95" customHeight="1" x14ac:dyDescent="0.25">
      <c r="A50" s="26" t="s">
        <v>48</v>
      </c>
      <c r="B50" s="26"/>
      <c r="C50" s="15" t="s">
        <v>82</v>
      </c>
      <c r="D50" s="15">
        <v>80</v>
      </c>
      <c r="E50" s="17">
        <v>71726.399999999994</v>
      </c>
      <c r="F50" s="15">
        <v>12910.751999999999</v>
      </c>
      <c r="G50" s="17">
        <v>84637.151999999987</v>
      </c>
    </row>
    <row r="51" spans="1:7" ht="80.099999999999994" customHeight="1" x14ac:dyDescent="0.25">
      <c r="A51" s="26" t="s">
        <v>49</v>
      </c>
      <c r="B51" s="26"/>
      <c r="C51" s="15" t="s">
        <v>82</v>
      </c>
      <c r="D51" s="15">
        <v>80</v>
      </c>
      <c r="E51" s="17">
        <v>75072</v>
      </c>
      <c r="F51" s="15">
        <v>13512.96</v>
      </c>
      <c r="G51" s="17">
        <v>88584.959999999992</v>
      </c>
    </row>
    <row r="52" spans="1:7" ht="111.95" customHeight="1" x14ac:dyDescent="0.25">
      <c r="A52" s="26" t="s">
        <v>50</v>
      </c>
      <c r="B52" s="26"/>
      <c r="C52" s="15" t="s">
        <v>82</v>
      </c>
      <c r="D52" s="15">
        <v>80</v>
      </c>
      <c r="E52" s="17">
        <v>71726.399999999994</v>
      </c>
      <c r="F52" s="15">
        <v>12910.751999999999</v>
      </c>
      <c r="G52" s="17">
        <v>84637.151999999987</v>
      </c>
    </row>
    <row r="53" spans="1:7" ht="80.099999999999994" customHeight="1" x14ac:dyDescent="0.25">
      <c r="A53" s="26" t="s">
        <v>51</v>
      </c>
      <c r="B53" s="26"/>
      <c r="C53" s="15" t="s">
        <v>82</v>
      </c>
      <c r="D53" s="15">
        <v>56</v>
      </c>
      <c r="E53" s="17">
        <v>50592</v>
      </c>
      <c r="F53" s="15">
        <v>9106.56</v>
      </c>
      <c r="G53" s="17">
        <v>59698.559999999998</v>
      </c>
    </row>
    <row r="54" spans="1:7" ht="111.95" customHeight="1" x14ac:dyDescent="0.25">
      <c r="A54" s="26" t="s">
        <v>52</v>
      </c>
      <c r="B54" s="26"/>
      <c r="C54" s="15" t="s">
        <v>82</v>
      </c>
      <c r="D54" s="15">
        <v>80</v>
      </c>
      <c r="E54" s="17">
        <v>71726.399999999994</v>
      </c>
      <c r="F54" s="15">
        <v>12910.751999999999</v>
      </c>
      <c r="G54" s="17">
        <v>84637.151999999987</v>
      </c>
    </row>
    <row r="55" spans="1:7" ht="80.099999999999994" customHeight="1" x14ac:dyDescent="0.25">
      <c r="A55" s="26" t="s">
        <v>53</v>
      </c>
      <c r="B55" s="26"/>
      <c r="C55" s="15" t="s">
        <v>83</v>
      </c>
      <c r="D55" s="15">
        <v>64</v>
      </c>
      <c r="E55" s="17">
        <v>64470</v>
      </c>
      <c r="F55" s="15">
        <v>11604.6</v>
      </c>
      <c r="G55" s="17">
        <v>76074.600000000006</v>
      </c>
    </row>
    <row r="56" spans="1:7" ht="111.95" customHeight="1" x14ac:dyDescent="0.25">
      <c r="A56" s="26" t="s">
        <v>54</v>
      </c>
      <c r="B56" s="26"/>
      <c r="C56" s="15" t="s">
        <v>83</v>
      </c>
      <c r="D56" s="15">
        <v>80</v>
      </c>
      <c r="E56" s="17">
        <v>80955.899999999994</v>
      </c>
      <c r="F56" s="15">
        <v>14572.061999999998</v>
      </c>
      <c r="G56" s="17">
        <v>95527.962</v>
      </c>
    </row>
    <row r="57" spans="1:7" ht="63.95" customHeight="1" x14ac:dyDescent="0.25">
      <c r="A57" s="26" t="s">
        <v>55</v>
      </c>
      <c r="B57" s="26"/>
      <c r="C57" s="15" t="s">
        <v>82</v>
      </c>
      <c r="D57" s="15">
        <v>8</v>
      </c>
      <c r="E57" s="17">
        <v>6528</v>
      </c>
      <c r="F57" s="15">
        <v>1175.04</v>
      </c>
      <c r="G57" s="17">
        <v>7703.04</v>
      </c>
    </row>
    <row r="58" spans="1:7" ht="80.099999999999994" customHeight="1" x14ac:dyDescent="0.25">
      <c r="A58" s="26" t="s">
        <v>56</v>
      </c>
      <c r="B58" s="26"/>
      <c r="C58" s="15" t="s">
        <v>82</v>
      </c>
      <c r="D58" s="15">
        <v>72</v>
      </c>
      <c r="E58" s="17">
        <v>63648</v>
      </c>
      <c r="F58" s="15">
        <v>11456.64</v>
      </c>
      <c r="G58" s="17">
        <v>75104.639999999999</v>
      </c>
    </row>
    <row r="59" spans="1:7" ht="80.099999999999994" customHeight="1" x14ac:dyDescent="0.25">
      <c r="A59" s="26" t="s">
        <v>57</v>
      </c>
      <c r="B59" s="26"/>
      <c r="C59" s="15" t="s">
        <v>82</v>
      </c>
      <c r="D59" s="15">
        <v>56</v>
      </c>
      <c r="E59" s="17">
        <v>50592</v>
      </c>
      <c r="F59" s="15">
        <v>9106.56</v>
      </c>
      <c r="G59" s="17">
        <v>59698.559999999998</v>
      </c>
    </row>
    <row r="60" spans="1:7" ht="80.099999999999994" customHeight="1" x14ac:dyDescent="0.25">
      <c r="A60" s="26" t="s">
        <v>58</v>
      </c>
      <c r="B60" s="26"/>
      <c r="C60" s="15" t="s">
        <v>83</v>
      </c>
      <c r="D60" s="15">
        <v>40</v>
      </c>
      <c r="E60" s="17">
        <v>42366</v>
      </c>
      <c r="F60" s="15">
        <v>7625.88</v>
      </c>
      <c r="G60" s="17">
        <v>49991.88</v>
      </c>
    </row>
    <row r="61" spans="1:7" ht="111.95" customHeight="1" x14ac:dyDescent="0.25">
      <c r="A61" s="26" t="s">
        <v>59</v>
      </c>
      <c r="B61" s="26"/>
      <c r="C61" s="15" t="s">
        <v>83</v>
      </c>
      <c r="D61" s="15">
        <v>96</v>
      </c>
      <c r="E61" s="17">
        <v>102967.8</v>
      </c>
      <c r="F61" s="15">
        <v>18534.204000000002</v>
      </c>
      <c r="G61" s="17">
        <v>121502.004</v>
      </c>
    </row>
    <row r="62" spans="1:7" ht="63.95" customHeight="1" x14ac:dyDescent="0.25">
      <c r="A62" s="26" t="s">
        <v>60</v>
      </c>
      <c r="B62" s="26"/>
      <c r="C62" s="15" t="s">
        <v>82</v>
      </c>
      <c r="D62" s="15">
        <v>16</v>
      </c>
      <c r="E62" s="17">
        <v>13056</v>
      </c>
      <c r="F62" s="15">
        <v>2350.08</v>
      </c>
      <c r="G62" s="17">
        <v>15406.08</v>
      </c>
    </row>
    <row r="63" spans="1:7" ht="80.099999999999994" customHeight="1" x14ac:dyDescent="0.25">
      <c r="A63" s="26" t="s">
        <v>61</v>
      </c>
      <c r="B63" s="26"/>
      <c r="C63" s="15" t="s">
        <v>82</v>
      </c>
      <c r="D63" s="15">
        <v>40</v>
      </c>
      <c r="E63" s="17">
        <v>37536</v>
      </c>
      <c r="F63" s="15">
        <v>6756.48</v>
      </c>
      <c r="G63" s="17">
        <v>44292.479999999996</v>
      </c>
    </row>
    <row r="64" spans="1:7" ht="80.099999999999994" customHeight="1" x14ac:dyDescent="0.25">
      <c r="A64" s="26" t="s">
        <v>62</v>
      </c>
      <c r="B64" s="26"/>
      <c r="C64" s="15" t="s">
        <v>82</v>
      </c>
      <c r="D64" s="15">
        <v>72</v>
      </c>
      <c r="E64" s="17">
        <v>63648</v>
      </c>
      <c r="F64" s="15">
        <v>11456.64</v>
      </c>
      <c r="G64" s="17">
        <v>75104.639999999999</v>
      </c>
    </row>
    <row r="65" spans="1:7" ht="80.099999999999994" customHeight="1" x14ac:dyDescent="0.25">
      <c r="A65" s="26" t="s">
        <v>63</v>
      </c>
      <c r="B65" s="26"/>
      <c r="C65" s="15" t="s">
        <v>82</v>
      </c>
      <c r="D65" s="15">
        <v>16</v>
      </c>
      <c r="E65" s="17">
        <v>17952</v>
      </c>
      <c r="F65" s="15">
        <v>3231.3599999999997</v>
      </c>
      <c r="G65" s="17">
        <v>21183.360000000001</v>
      </c>
    </row>
    <row r="66" spans="1:7" ht="111.95" customHeight="1" x14ac:dyDescent="0.25">
      <c r="A66" s="26" t="s">
        <v>64</v>
      </c>
      <c r="B66" s="26"/>
      <c r="C66" s="15" t="s">
        <v>82</v>
      </c>
      <c r="D66" s="15">
        <v>72</v>
      </c>
      <c r="E66" s="17">
        <v>65198.400000000001</v>
      </c>
      <c r="F66" s="15">
        <v>11735.712</v>
      </c>
      <c r="G66" s="17">
        <v>76934.111999999994</v>
      </c>
    </row>
    <row r="67" spans="1:7" ht="80.099999999999994" customHeight="1" x14ac:dyDescent="0.25">
      <c r="A67" s="26" t="s">
        <v>65</v>
      </c>
      <c r="B67" s="26"/>
      <c r="C67" s="15" t="s">
        <v>82</v>
      </c>
      <c r="D67" s="15">
        <v>64</v>
      </c>
      <c r="E67" s="17">
        <v>57120</v>
      </c>
      <c r="F67" s="15">
        <v>10281.6</v>
      </c>
      <c r="G67" s="17">
        <v>67401.600000000006</v>
      </c>
    </row>
    <row r="68" spans="1:7" ht="111.95" customHeight="1" x14ac:dyDescent="0.25">
      <c r="A68" s="26" t="s">
        <v>66</v>
      </c>
      <c r="B68" s="26"/>
      <c r="C68" s="15" t="s">
        <v>82</v>
      </c>
      <c r="D68" s="15">
        <v>72</v>
      </c>
      <c r="E68" s="17">
        <v>65198.400000000001</v>
      </c>
      <c r="F68" s="15">
        <v>11735.712</v>
      </c>
      <c r="G68" s="17">
        <v>76934.111999999994</v>
      </c>
    </row>
    <row r="69" spans="1:7" ht="63.95" customHeight="1" x14ac:dyDescent="0.25">
      <c r="A69" s="26" t="s">
        <v>67</v>
      </c>
      <c r="B69" s="26"/>
      <c r="C69" s="15" t="s">
        <v>82</v>
      </c>
      <c r="D69" s="15">
        <v>32</v>
      </c>
      <c r="E69" s="17">
        <v>26112</v>
      </c>
      <c r="F69" s="15">
        <v>4700.16</v>
      </c>
      <c r="G69" s="17">
        <v>30812.16</v>
      </c>
    </row>
    <row r="70" spans="1:7" ht="111.95" customHeight="1" x14ac:dyDescent="0.25">
      <c r="A70" s="26" t="s">
        <v>68</v>
      </c>
      <c r="B70" s="26"/>
      <c r="C70" s="15" t="s">
        <v>83</v>
      </c>
      <c r="D70" s="15">
        <v>96</v>
      </c>
      <c r="E70" s="17">
        <v>102967.8</v>
      </c>
      <c r="F70" s="15">
        <v>18534.204000000002</v>
      </c>
      <c r="G70" s="17">
        <v>121502.004</v>
      </c>
    </row>
    <row r="71" spans="1:7" ht="111.95" customHeight="1" x14ac:dyDescent="0.25">
      <c r="A71" s="26" t="s">
        <v>69</v>
      </c>
      <c r="B71" s="26"/>
      <c r="C71" s="15" t="s">
        <v>83</v>
      </c>
      <c r="D71" s="15">
        <v>88</v>
      </c>
      <c r="E71" s="17">
        <v>93849.9</v>
      </c>
      <c r="F71" s="15">
        <v>16892.982</v>
      </c>
      <c r="G71" s="17">
        <v>110742.882</v>
      </c>
    </row>
    <row r="72" spans="1:7" ht="63.95" customHeight="1" x14ac:dyDescent="0.25">
      <c r="A72" s="26" t="s">
        <v>70</v>
      </c>
      <c r="B72" s="26"/>
      <c r="C72" s="15" t="s">
        <v>82</v>
      </c>
      <c r="D72" s="15">
        <v>16</v>
      </c>
      <c r="E72" s="17">
        <v>13056</v>
      </c>
      <c r="F72" s="15">
        <v>2350.08</v>
      </c>
      <c r="G72" s="17">
        <v>15406.08</v>
      </c>
    </row>
    <row r="73" spans="1:7" ht="80.099999999999994" customHeight="1" x14ac:dyDescent="0.25">
      <c r="A73" s="26" t="s">
        <v>71</v>
      </c>
      <c r="B73" s="26"/>
      <c r="C73" s="15" t="s">
        <v>82</v>
      </c>
      <c r="D73" s="15">
        <v>56</v>
      </c>
      <c r="E73" s="17">
        <v>50592</v>
      </c>
      <c r="F73" s="15">
        <v>9106.56</v>
      </c>
      <c r="G73" s="17">
        <v>59698.559999999998</v>
      </c>
    </row>
    <row r="74" spans="1:7" ht="111.95" customHeight="1" x14ac:dyDescent="0.25">
      <c r="A74" s="26" t="s">
        <v>72</v>
      </c>
      <c r="B74" s="26"/>
      <c r="C74" s="15" t="s">
        <v>82</v>
      </c>
      <c r="D74" s="15">
        <v>88</v>
      </c>
      <c r="E74" s="17">
        <v>83150.399999999994</v>
      </c>
      <c r="F74" s="15">
        <v>14967.071999999998</v>
      </c>
      <c r="G74" s="17">
        <v>98117.471999999994</v>
      </c>
    </row>
    <row r="76" spans="1:7" x14ac:dyDescent="0.25">
      <c r="F76" s="8" t="s">
        <v>73</v>
      </c>
      <c r="G76" s="9">
        <f>SUM(E18:E74)</f>
        <v>3346130.6999999988</v>
      </c>
    </row>
    <row r="77" spans="1:7" x14ac:dyDescent="0.25">
      <c r="F77" s="8" t="s">
        <v>74</v>
      </c>
      <c r="G77" s="9">
        <f>SUM(F18:F74)</f>
        <v>602303.52599999995</v>
      </c>
    </row>
    <row r="78" spans="1:7" x14ac:dyDescent="0.25">
      <c r="F78" s="8" t="s">
        <v>75</v>
      </c>
      <c r="G78" s="9">
        <f>G76+G77</f>
        <v>3948434.2259999989</v>
      </c>
    </row>
    <row r="80" spans="1:7" x14ac:dyDescent="0.25">
      <c r="A80" s="1" t="s">
        <v>76</v>
      </c>
      <c r="B80" s="25" t="s">
        <v>77</v>
      </c>
      <c r="C80" s="25"/>
      <c r="D80" s="25"/>
      <c r="E80" s="25"/>
      <c r="F80" s="25"/>
      <c r="G80" s="25"/>
    </row>
    <row r="82" spans="1:7" ht="96" customHeight="1" x14ac:dyDescent="0.25">
      <c r="A82" s="26" t="s">
        <v>78</v>
      </c>
      <c r="B82" s="26"/>
      <c r="C82" s="26"/>
      <c r="D82" s="26"/>
      <c r="E82" s="26"/>
      <c r="F82" s="26"/>
      <c r="G82" s="26"/>
    </row>
    <row r="84" spans="1:7" x14ac:dyDescent="0.25">
      <c r="A84" s="27" t="s">
        <v>79</v>
      </c>
      <c r="B84" s="27"/>
      <c r="C84" s="27"/>
      <c r="D84" s="27"/>
      <c r="E84" s="27"/>
      <c r="F84" s="27"/>
      <c r="G84" s="27"/>
    </row>
    <row r="96" spans="1:7" x14ac:dyDescent="0.25">
      <c r="A96" s="36" t="s">
        <v>107</v>
      </c>
      <c r="B96" s="35"/>
      <c r="C96" s="35"/>
      <c r="D96" s="35"/>
      <c r="E96" s="35"/>
      <c r="F96" s="35"/>
      <c r="G96" s="35"/>
    </row>
    <row r="97" spans="1:7" x14ac:dyDescent="0.25">
      <c r="A97" s="35"/>
      <c r="B97" s="35"/>
      <c r="C97" s="35"/>
      <c r="D97" s="35"/>
      <c r="E97" s="35"/>
      <c r="F97" s="35"/>
      <c r="G97" s="35"/>
    </row>
    <row r="98" spans="1:7" x14ac:dyDescent="0.25">
      <c r="A98" s="35"/>
      <c r="B98" s="35"/>
      <c r="C98" s="35"/>
      <c r="D98" s="35"/>
      <c r="E98" s="35"/>
      <c r="F98" s="35"/>
      <c r="G98" s="35"/>
    </row>
  </sheetData>
  <mergeCells count="62">
    <mergeCell ref="A84:G84"/>
    <mergeCell ref="A96:G98"/>
    <mergeCell ref="A71:B71"/>
    <mergeCell ref="A72:B72"/>
    <mergeCell ref="A73:B73"/>
    <mergeCell ref="A74:B74"/>
    <mergeCell ref="B80:G80"/>
    <mergeCell ref="A82:G82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8:B28"/>
    <mergeCell ref="A30:B30"/>
    <mergeCell ref="A31:B31"/>
    <mergeCell ref="A32:B32"/>
    <mergeCell ref="A33:B33"/>
    <mergeCell ref="A34:B34"/>
    <mergeCell ref="A21:B21"/>
    <mergeCell ref="A22:B22"/>
    <mergeCell ref="A24:B24"/>
    <mergeCell ref="A25:B25"/>
    <mergeCell ref="A26:B26"/>
    <mergeCell ref="A27:B27"/>
    <mergeCell ref="B1:F1"/>
    <mergeCell ref="A16:B16"/>
    <mergeCell ref="A17:G17"/>
    <mergeCell ref="A18:B18"/>
    <mergeCell ref="A19:B19"/>
    <mergeCell ref="A20:B20"/>
  </mergeCells>
  <hyperlinks>
    <hyperlink ref="E5" r:id="rId1" xr:uid="{0A64B0D4-7B1A-4DE4-9D04-C5DB7775483C}"/>
  </hyperlinks>
  <pageMargins left="0.6" right="0.6" top="0.75" bottom="0.75" header="0.3" footer="0.3"/>
  <pageSetup paperSize="9" scale="61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Facture</vt:lpstr>
      <vt:lpstr>Facture J draft 2</vt:lpstr>
      <vt:lpstr>Facture J finale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cp:lastPrinted>2026-04-09T19:13:25Z</cp:lastPrinted>
  <dcterms:created xsi:type="dcterms:W3CDTF">2026-04-06T19:59:10Z</dcterms:created>
  <dcterms:modified xsi:type="dcterms:W3CDTF">2026-04-09T19:20:34Z</dcterms:modified>
</cp:coreProperties>
</file>