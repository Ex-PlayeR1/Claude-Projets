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ta\Mon Drive\1. Claude Projects\Factures Dorado\"/>
    </mc:Choice>
  </mc:AlternateContent>
  <xr:revisionPtr revIDLastSave="0" documentId="13_ncr:1_{AE2E0CAF-B815-4327-8D01-EF7673FFBB88}" xr6:coauthVersionLast="47" xr6:coauthVersionMax="47" xr10:uidLastSave="{00000000-0000-0000-0000-000000000000}"/>
  <bookViews>
    <workbookView xWindow="3188" yWindow="3188" windowWidth="16200" windowHeight="9360" tabRatio="500" xr2:uid="{00000000-000D-0000-FFFF-FFFF00000000}"/>
  </bookViews>
  <sheets>
    <sheet name="Récapitulatif 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F7" i="1"/>
  <c r="F6" i="1"/>
  <c r="F5" i="1"/>
  <c r="F8" i="1" s="1"/>
</calcChain>
</file>

<file path=xl/sharedStrings.xml><?xml version="1.0" encoding="utf-8"?>
<sst xmlns="http://schemas.openxmlformats.org/spreadsheetml/2006/main" count="13" uniqueCount="13">
  <si>
    <t>Récapitulatif des Heures Supplémentaires par Section</t>
  </si>
  <si>
    <t>Section</t>
  </si>
  <si>
    <t>Nb Employés</t>
  </si>
  <si>
    <t>HS 15% (heures)</t>
  </si>
  <si>
    <t>HS 50% (heures)</t>
  </si>
  <si>
    <t>HS 75% (heures)</t>
  </si>
  <si>
    <t>Total HS (heures)</t>
  </si>
  <si>
    <t>Maintenance - Boiler A</t>
  </si>
  <si>
    <t>Maintenance - Boiler B</t>
  </si>
  <si>
    <t>CNSL</t>
  </si>
  <si>
    <t>TOTAL</t>
  </si>
  <si>
    <t>* HS = Heures Supplémentaires</t>
  </si>
  <si>
    <t>Facture n° 24-330-S0106 | Dorado Ivory SA | Mars 2026 du 16 au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</si>
</sst>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E4057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88888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EEF2F7"/>
      </patternFill>
    </fill>
    <fill>
      <patternFill patternType="solid">
        <fgColor rgb="FFEEF2F7"/>
        <b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2E4057"/>
      </top>
      <bottom style="medium">
        <color rgb="FF2E4057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A3" sqref="A3"/>
    </sheetView>
  </sheetViews>
  <sheetFormatPr baseColWidth="10" defaultColWidth="8.6640625" defaultRowHeight="14.25" x14ac:dyDescent="0.45"/>
  <cols>
    <col min="1" max="1" width="28" customWidth="1"/>
    <col min="2" max="2" width="14" customWidth="1"/>
    <col min="3" max="6" width="18" customWidth="1"/>
  </cols>
  <sheetData>
    <row r="1" spans="1:6" ht="27.75" customHeight="1" x14ac:dyDescent="0.45">
      <c r="A1" s="9" t="s">
        <v>0</v>
      </c>
      <c r="B1" s="9"/>
      <c r="C1" s="9"/>
      <c r="D1" s="9"/>
      <c r="E1" s="9"/>
      <c r="F1" s="9"/>
    </row>
    <row r="2" spans="1:6" ht="18" customHeight="1" x14ac:dyDescent="0.45">
      <c r="A2" s="10" t="s">
        <v>12</v>
      </c>
      <c r="B2" s="10"/>
      <c r="C2" s="10"/>
      <c r="D2" s="10"/>
      <c r="E2" s="10"/>
      <c r="F2" s="10"/>
    </row>
    <row r="3" spans="1:6" ht="7.5" customHeight="1" x14ac:dyDescent="0.45"/>
    <row r="4" spans="1:6" ht="21.75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9.5" customHeight="1" x14ac:dyDescent="0.45">
      <c r="A5" s="2" t="s">
        <v>7</v>
      </c>
      <c r="B5" s="3">
        <v>5</v>
      </c>
      <c r="C5" s="3">
        <v>24</v>
      </c>
      <c r="D5" s="3">
        <v>8</v>
      </c>
      <c r="E5" s="3">
        <v>72</v>
      </c>
      <c r="F5" s="3">
        <f>C5+D5+E5</f>
        <v>104</v>
      </c>
    </row>
    <row r="6" spans="1:6" ht="19.5" customHeight="1" x14ac:dyDescent="0.45">
      <c r="A6" s="4" t="s">
        <v>8</v>
      </c>
      <c r="B6" s="5">
        <v>5</v>
      </c>
      <c r="C6" s="5">
        <v>36</v>
      </c>
      <c r="D6" s="5">
        <v>12</v>
      </c>
      <c r="E6" s="5">
        <v>56</v>
      </c>
      <c r="F6" s="5">
        <f>C6+D6+E6</f>
        <v>104</v>
      </c>
    </row>
    <row r="7" spans="1:6" ht="19.5" customHeight="1" x14ac:dyDescent="0.45">
      <c r="A7" s="2" t="s">
        <v>9</v>
      </c>
      <c r="B7" s="3">
        <v>46</v>
      </c>
      <c r="C7" s="3">
        <v>138</v>
      </c>
      <c r="D7" s="3">
        <v>46</v>
      </c>
      <c r="E7" s="3">
        <v>392</v>
      </c>
      <c r="F7" s="3">
        <f>C7+D7+E7</f>
        <v>576</v>
      </c>
    </row>
    <row r="8" spans="1:6" ht="21.75" customHeight="1" x14ac:dyDescent="0.45">
      <c r="A8" s="6" t="s">
        <v>10</v>
      </c>
      <c r="B8" s="7">
        <f>SUM(B5:B7)</f>
        <v>56</v>
      </c>
      <c r="C8" s="7">
        <f>SUM(C5:C7)</f>
        <v>198</v>
      </c>
      <c r="D8" s="7">
        <f>SUM(D5:D7)</f>
        <v>66</v>
      </c>
      <c r="E8" s="7">
        <f>SUM(E5:E7)</f>
        <v>520</v>
      </c>
      <c r="F8" s="7">
        <f>SUM(F5:F7)</f>
        <v>784</v>
      </c>
    </row>
    <row r="9" spans="1:6" ht="7.5" customHeight="1" x14ac:dyDescent="0.45"/>
    <row r="10" spans="1:6" x14ac:dyDescent="0.45">
      <c r="A10" s="8" t="s">
        <v>11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Récapitulatif 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Assistance Technique 225</cp:lastModifiedBy>
  <cp:revision>0</cp:revision>
  <dcterms:created xsi:type="dcterms:W3CDTF">2026-04-15T20:25:05Z</dcterms:created>
  <dcterms:modified xsi:type="dcterms:W3CDTF">2026-04-15T20:31:14Z</dcterms:modified>
  <dc:language>en-US</dc:language>
</cp:coreProperties>
</file>